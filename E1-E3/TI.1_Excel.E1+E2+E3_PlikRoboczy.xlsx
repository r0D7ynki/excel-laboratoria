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BusinessPlan" sheetId="1" state="visible" r:id="rId1"/>
    <sheet name="Potter" sheetId="2" state="visible" r:id="rId2"/>
    <sheet name="Weasley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6">
    <numFmt numFmtId="164" formatCode="#,##0.00\ [$€-1]"/>
    <numFmt numFmtId="165" formatCode="#,##0\ [$€-1]"/>
    <numFmt numFmtId="166" formatCode="0.0000"/>
    <numFmt numFmtId="167" formatCode="0.0"/>
    <numFmt numFmtId="168" formatCode="yyyy-mm-dd h:mm:ss"/>
    <numFmt numFmtId="169" formatCode="mmmm"/>
  </numFmts>
  <fonts count="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color theme="1"/>
      <sz val="14"/>
    </font>
    <font>
      <name val="Tahoma"/>
      <charset val="238"/>
      <family val="2"/>
      <color indexed="81"/>
      <sz val="9"/>
    </font>
    <font>
      <name val="Calibri"/>
      <charset val="238"/>
      <family val="2"/>
      <b val="1"/>
      <color theme="1"/>
      <sz val="12"/>
      <u val="single"/>
      <scheme val="minor"/>
    </font>
    <font>
      <name val="Tahoma"/>
      <charset val="238"/>
      <family val="2"/>
      <i val="1"/>
      <color indexed="81"/>
      <sz val="9"/>
    </font>
    <font>
      <b val="1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/>
      <right style="thin"/>
      <top style="double"/>
      <bottom style="thin"/>
    </border>
    <border>
      <left style="thin"/>
      <right style="thin"/>
      <top style="double"/>
      <bottom style="thin"/>
    </border>
    <border>
      <left style="thin"/>
      <right style="double"/>
      <top style="double"/>
      <bottom style="thin"/>
    </border>
    <border>
      <left style="doubl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double"/>
      <top style="thin"/>
      <bottom style="thin"/>
    </border>
    <border>
      <left style="double"/>
      <right style="thin"/>
      <top style="thin"/>
      <bottom style="double"/>
    </border>
    <border>
      <left style="thin"/>
      <right style="thin"/>
      <top style="thin"/>
      <bottom style="double"/>
    </border>
    <border>
      <left style="thin"/>
      <right style="double"/>
      <top style="thin"/>
      <bottom style="double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6" borderId="5" pivotButton="0" quotePrefix="0" xfId="0"/>
    <xf numFmtId="0" fontId="0" fillId="6" borderId="5" applyAlignment="1" pivotButton="0" quotePrefix="0" xfId="0">
      <alignment horizontal="center"/>
    </xf>
    <xf numFmtId="0" fontId="0" fillId="6" borderId="6" pivotButton="0" quotePrefix="0" xfId="0"/>
    <xf numFmtId="0" fontId="0" fillId="6" borderId="1" pivotButton="0" quotePrefix="0" xfId="0"/>
    <xf numFmtId="0" fontId="0" fillId="6" borderId="4" pivotButton="0" quotePrefix="0" xfId="0"/>
    <xf numFmtId="0" fontId="0" fillId="6" borderId="3" pivotButton="0" quotePrefix="0" xfId="0"/>
    <xf numFmtId="164" fontId="0" fillId="3" borderId="2" pivotButton="0" quotePrefix="0" xfId="0"/>
    <xf numFmtId="164" fontId="0" fillId="5" borderId="2" pivotButton="0" quotePrefix="0" xfId="0"/>
    <xf numFmtId="165" fontId="0" fillId="7" borderId="2" pivotButton="0" quotePrefix="0" xfId="0"/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3" fontId="0" fillId="8" borderId="1" pivotButton="0" quotePrefix="0" xfId="0"/>
    <xf numFmtId="3" fontId="0" fillId="8" borderId="4" pivotButton="0" quotePrefix="0" xfId="0"/>
    <xf numFmtId="3" fontId="0" fillId="8" borderId="3" pivotButton="0" quotePrefix="0" xfId="0"/>
    <xf numFmtId="0" fontId="0" fillId="9" borderId="6" pivotButton="0" quotePrefix="0" xfId="0"/>
    <xf numFmtId="0" fontId="3" fillId="4" borderId="0" applyAlignment="1" pivotButton="0" quotePrefix="0" xfId="0">
      <alignment vertical="center"/>
    </xf>
    <xf numFmtId="3" fontId="0" fillId="10" borderId="1" pivotButton="0" quotePrefix="0" xfId="0"/>
    <xf numFmtId="3" fontId="0" fillId="10" borderId="4" pivotButton="0" quotePrefix="0" xfId="0"/>
    <xf numFmtId="3" fontId="0" fillId="10" borderId="3" pivotButton="0" quotePrefix="0" xfId="0"/>
    <xf numFmtId="0" fontId="0" fillId="11" borderId="0" pivotButton="0" quotePrefix="0" xfId="0"/>
    <xf numFmtId="3" fontId="0" fillId="0" borderId="6" pivotButton="0" quotePrefix="0" xfId="0"/>
    <xf numFmtId="3" fontId="0" fillId="0" borderId="1" pivotButton="0" quotePrefix="0" xfId="0"/>
    <xf numFmtId="3" fontId="0" fillId="0" borderId="4" pivotButton="0" quotePrefix="0" xfId="0"/>
    <xf numFmtId="3" fontId="0" fillId="0" borderId="3" pivotButton="0" quotePrefix="0" xfId="0"/>
    <xf numFmtId="0" fontId="0" fillId="0" borderId="0" applyAlignment="1" pivotButton="0" quotePrefix="0" xfId="0">
      <alignment horizontal="center"/>
    </xf>
    <xf numFmtId="0" fontId="5" fillId="12" borderId="7" applyAlignment="1" pivotButton="0" quotePrefix="0" xfId="0">
      <alignment horizontal="center" vertical="center" wrapText="1"/>
    </xf>
    <xf numFmtId="0" fontId="5" fillId="12" borderId="8" applyAlignment="1" pivotButton="0" quotePrefix="0" xfId="0">
      <alignment horizontal="center" vertical="center" wrapText="1"/>
    </xf>
    <xf numFmtId="0" fontId="5" fillId="12" borderId="9" applyAlignment="1" pivotButton="0" quotePrefix="0" xfId="0">
      <alignment horizontal="center" vertical="center" wrapText="1"/>
    </xf>
    <xf numFmtId="169" fontId="0" fillId="0" borderId="10" applyAlignment="1" pivotButton="0" quotePrefix="0" xfId="0">
      <alignment horizontal="center"/>
    </xf>
    <xf numFmtId="167" fontId="0" fillId="0" borderId="11" pivotButton="0" quotePrefix="0" xfId="0"/>
    <xf numFmtId="167" fontId="0" fillId="0" borderId="12" pivotButton="0" quotePrefix="0" xfId="0"/>
    <xf numFmtId="169" fontId="0" fillId="0" borderId="13" applyAlignment="1" pivotButton="0" quotePrefix="0" xfId="0">
      <alignment horizontal="center"/>
    </xf>
    <xf numFmtId="167" fontId="0" fillId="0" borderId="14" pivotButton="0" quotePrefix="0" xfId="0"/>
    <xf numFmtId="167" fontId="0" fillId="0" borderId="15" pivotButton="0" quotePrefix="0" xfId="0"/>
  </cellXfs>
  <cellStyles count="1">
    <cellStyle name="Normalny" xfId="0" builtinId="0"/>
  </cellStyles>
  <dxfs count="3">
    <dxf>
      <font>
        <b val="1"/>
      </font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WD</author>
  </authors>
  <commentList>
    <comment ref="C19" authorId="0" shapeId="0">
      <text>
        <t>Rozruch linii produkcyjnej - produkcja=0.
==&gt; To jest komentarz (Recenzja/ Komentarze, lub klawisze Shift-F2) &lt;==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85723</xdr:colOff>
      <xdr:row>2</xdr:row>
      <xdr:rowOff>47625</xdr:rowOff>
    </xdr:from>
    <xdr:to>
      <xdr:col>13</xdr:col>
      <xdr:colOff>590550</xdr:colOff>
      <xdr:row>9</xdr:row>
      <xdr:rowOff>266700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0023" y="400050"/>
          <a:ext cx="8734427" cy="169545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 u="sng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Informacje o firmie i o jej planach</a:t>
          </a:r>
          <a:endParaRPr lang="pl-PL" sz="120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pl-PL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Hog-dog jest niewielką spółką</a:t>
          </a:r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w </a:t>
          </a:r>
          <a:r>
            <a:rPr lang="pl-PL" sz="1200" b="0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Hogwarcie, która czasami produkuje zimne przekąski</a:t>
          </a:r>
          <a:r>
            <a:rPr lang="pl-PL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z niczego</a:t>
          </a:r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- z substancji </a:t>
          </a:r>
          <a:r>
            <a:rPr lang="pl-PL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zwanej </a:t>
          </a:r>
          <a:r>
            <a:rPr lang="pl-PL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Magic Stufff ©.</a:t>
          </a:r>
          <a:endParaRPr lang="pl-PL" sz="120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pl-PL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Badania rynkowe wskazują, że jest popyt na ciepłe parówki,</a:t>
          </a:r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tak więc planujemy produkować i sprzedawać niewidzialne, gorące hot-dogggi wypełnione Ma</a:t>
          </a:r>
          <a:r>
            <a:rPr lang="pl-PL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gic Stufff'em</a:t>
          </a:r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.</a:t>
          </a:r>
          <a:endParaRPr lang="pl-PL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Mamy stabilną klientelę studentów i pracowników Hogwartu oraz żadnej konkurencji, gdyż ją znikamy jak tylko się pojawia.</a:t>
          </a:r>
          <a:endParaRPr lang="pl-PL" sz="120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Poniższy biznes plan konstruujemy aby pokazać, że przynosimy </a:t>
          </a:r>
          <a:r>
            <a:rPr lang="pl-PL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zyski </a:t>
          </a:r>
          <a:r>
            <a:rPr lang="pl-PL" sz="12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wystarczające do spłacenia kredytu bankowego, którego wzięcie pozwoli nam rozwinąć interes.</a:t>
          </a:r>
          <a:endParaRPr lang="pl-PL" sz="1200">
            <a:effectLst/>
            <a:latin typeface="Times New Roman" pitchFamily="18" charset="0"/>
            <a:cs typeface="Times New Roman" pitchFamily="18" charset="0"/>
          </a:endParaRPr>
        </a:p>
        <a:p>
          <a:endParaRPr lang="pl-PL" sz="1200" baseline="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r>
            <a:rPr lang="pl-PL" sz="1200" baseline="0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==&gt; </a:t>
          </a:r>
          <a:r>
            <a:rPr lang="pl-PL" sz="1200" i="1" baseline="0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To jest pole tekstowe  (Wstawianie/ Tekst/ Pole Tekstowe). Używaj ich celem zamieszczenia w arkuszu obszernych komentarzy. &lt;==</a:t>
          </a:r>
          <a:endParaRPr lang="pl-PL" sz="1200">
            <a:solidFill>
              <a:schemeClr val="tx2">
                <a:lumMod val="60000"/>
                <a:lumOff val="40000"/>
              </a:schemeClr>
            </a:solidFill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28"/>
  <sheetViews>
    <sheetView tabSelected="1" topLeftCell="B1" workbookViewId="0">
      <selection activeCell="B1" sqref="B1"/>
    </sheetView>
  </sheetViews>
  <sheetFormatPr baseColWidth="8" defaultRowHeight="15"/>
  <cols>
    <col width="1.7109375" customWidth="1" min="1" max="1"/>
    <col width="23" customWidth="1" min="2" max="2"/>
    <col width="9" customWidth="1" min="3" max="3"/>
    <col width="9.140625" customWidth="1" min="15" max="15"/>
    <col width="10.5703125" bestFit="1" customWidth="1" min="18" max="18"/>
  </cols>
  <sheetData>
    <row r="1" ht="9" customHeight="1"/>
    <row r="2" ht="18.75" customFormat="1" customHeight="1" s="2">
      <c r="B2" s="1" t="inlineStr">
        <is>
          <t>Hog-dog sp. z o.o. - Uproszczony Biznes Plan</t>
        </is>
      </c>
    </row>
    <row r="9" ht="26.25" customHeight="1"/>
    <row r="10" ht="25.5" customHeight="1"/>
    <row r="11" ht="18.75" customFormat="1" customHeight="1" s="3">
      <c r="B11" s="20" t="inlineStr">
        <is>
          <t>Dane i założenia</t>
        </is>
      </c>
    </row>
    <row r="12">
      <c r="B12" t="inlineStr">
        <is>
          <t>Cena</t>
        </is>
      </c>
      <c r="C12" s="11" t="n">
        <v>2</v>
      </c>
      <c r="D12" t="inlineStr">
        <is>
          <t>(ile zapłaci klient za 1 parówkę)</t>
        </is>
      </c>
    </row>
    <row r="13">
      <c r="B13" t="inlineStr">
        <is>
          <t>Koszty zmienne:</t>
        </is>
      </c>
      <c r="C13" s="10" t="n">
        <v>1.45</v>
      </c>
      <c r="D13" t="inlineStr">
        <is>
          <t>(koszt składników jednej parówki)</t>
        </is>
      </c>
    </row>
    <row r="14">
      <c r="B14" t="inlineStr">
        <is>
          <t>Koszty stałe:</t>
        </is>
      </c>
      <c r="C14" s="12" t="n">
        <v>3000</v>
      </c>
      <c r="D14" t="inlineStr">
        <is>
          <t>(miesięczne wydatki niezależne od ilości wyprodukowanych parówek)</t>
        </is>
      </c>
    </row>
    <row r="15">
      <c r="B15" t="inlineStr">
        <is>
          <t>Wzrost produkcji:</t>
        </is>
      </c>
      <c r="C15" s="24" t="n">
        <v>350</v>
      </c>
    </row>
    <row r="16" ht="18.75" customFormat="1" customHeight="1" s="3">
      <c r="B16" s="20" t="inlineStr">
        <is>
          <t>Table 1. Rachunek zysków i strat</t>
        </is>
      </c>
    </row>
    <row r="17" ht="6" customHeight="1"/>
    <row r="18" ht="15.75" customHeight="1" thickBot="1">
      <c r="B18" s="4" t="inlineStr">
        <is>
          <t>Wielkość / Miesiąc</t>
        </is>
      </c>
      <c r="C18" s="5" t="inlineStr">
        <is>
          <t>Sty</t>
        </is>
      </c>
      <c r="D18" s="5" t="inlineStr">
        <is>
          <t>Lut</t>
        </is>
      </c>
      <c r="E18" s="5" t="inlineStr">
        <is>
          <t>Mar</t>
        </is>
      </c>
      <c r="F18" s="5" t="inlineStr">
        <is>
          <t>Kwi</t>
        </is>
      </c>
      <c r="G18" s="5" t="inlineStr">
        <is>
          <t>Maj</t>
        </is>
      </c>
      <c r="H18" s="5" t="inlineStr">
        <is>
          <t>Cze</t>
        </is>
      </c>
      <c r="I18" s="5" t="inlineStr">
        <is>
          <t>Lip</t>
        </is>
      </c>
      <c r="J18" s="5" t="inlineStr">
        <is>
          <t>Sie</t>
        </is>
      </c>
      <c r="K18" s="5" t="inlineStr">
        <is>
          <t>Wrz</t>
        </is>
      </c>
      <c r="L18" s="5" t="inlineStr">
        <is>
          <t>Paź</t>
        </is>
      </c>
      <c r="M18" s="5" t="inlineStr">
        <is>
          <t>Lis</t>
        </is>
      </c>
      <c r="N18" s="5" t="inlineStr">
        <is>
          <t>Gru</t>
        </is>
      </c>
      <c r="O18" s="5" t="inlineStr">
        <is>
          <t>Suma</t>
        </is>
      </c>
      <c r="P18" s="5" t="inlineStr">
        <is>
          <t>Średnia</t>
        </is>
      </c>
    </row>
    <row r="19">
      <c r="B19" s="6" t="inlineStr">
        <is>
          <t>Liczba parówek (szt.)</t>
        </is>
      </c>
      <c r="C19" s="6" t="n">
        <v>0</v>
      </c>
      <c r="D19" s="19">
        <f>C19+$C$15</f>
        <v/>
      </c>
      <c r="E19" s="19">
        <f>D19+$C$15</f>
        <v/>
      </c>
      <c r="F19" s="19">
        <f>E19+$C$15</f>
        <v/>
      </c>
      <c r="G19" s="19">
        <f>F19+$C$15</f>
        <v/>
      </c>
      <c r="H19" s="19">
        <f>G19+$C$15</f>
        <v/>
      </c>
      <c r="I19" s="19">
        <f>H19+$C$15</f>
        <v/>
      </c>
      <c r="J19" s="19">
        <f>I19+$C$15</f>
        <v/>
      </c>
      <c r="K19" s="19">
        <f>J19+$C$15</f>
        <v/>
      </c>
      <c r="L19" s="19">
        <f>K19+$C$15</f>
        <v/>
      </c>
      <c r="M19" s="19">
        <f>L19+$C$15</f>
        <v/>
      </c>
      <c r="N19" s="19">
        <f>M19+$C$15</f>
        <v/>
      </c>
      <c r="O19" s="25">
        <f>SUM(C19:N19)</f>
        <v/>
      </c>
      <c r="P19" s="25">
        <f>ROUND(AVERAGE(C19:N19),0)</f>
        <v/>
      </c>
      <c r="R19" s="14" t="n"/>
      <c r="S19" s="15" t="n"/>
    </row>
    <row r="20">
      <c r="B20" s="7" t="inlineStr">
        <is>
          <t>Wpływy ze sprzedaży (zł)</t>
        </is>
      </c>
      <c r="C20" s="21">
        <f>C19*$C$12</f>
        <v/>
      </c>
      <c r="D20" s="16">
        <f>D19*$C$12</f>
        <v/>
      </c>
      <c r="E20" s="16">
        <f>E19*$C$12</f>
        <v/>
      </c>
      <c r="F20" s="16">
        <f>F19*$C$12</f>
        <v/>
      </c>
      <c r="G20" s="16">
        <f>G19*$C$12</f>
        <v/>
      </c>
      <c r="H20" s="16">
        <f>H19*$C$12</f>
        <v/>
      </c>
      <c r="I20" s="16">
        <f>I19*$C$12</f>
        <v/>
      </c>
      <c r="J20" s="16">
        <f>J19*$C$12</f>
        <v/>
      </c>
      <c r="K20" s="16">
        <f>K19*$C$12</f>
        <v/>
      </c>
      <c r="L20" s="16">
        <f>L19*$C$12</f>
        <v/>
      </c>
      <c r="M20" s="16">
        <f>M19*$C$12</f>
        <v/>
      </c>
      <c r="N20" s="16">
        <f>N19*$C$12</f>
        <v/>
      </c>
      <c r="O20" s="26">
        <f>SUM(C20:N20)</f>
        <v/>
      </c>
      <c r="P20" s="26">
        <f>ROUND(AVERAGE(C20:N20),0)</f>
        <v/>
      </c>
      <c r="R20" s="14" t="n"/>
      <c r="S20" s="15" t="n"/>
    </row>
    <row r="21" ht="15.75" customHeight="1" thickBot="1">
      <c r="B21" s="8" t="inlineStr">
        <is>
          <t>Koszty</t>
        </is>
      </c>
      <c r="C21" s="22">
        <f>C19*$C$13+$C$14</f>
        <v/>
      </c>
      <c r="D21" s="17">
        <f>D19*$C$13+$C$14</f>
        <v/>
      </c>
      <c r="E21" s="17">
        <f>E19*$C$13+$C$14</f>
        <v/>
      </c>
      <c r="F21" s="17">
        <f>F19*$C$13+$C$14</f>
        <v/>
      </c>
      <c r="G21" s="17">
        <f>G19*$C$13+$C$14</f>
        <v/>
      </c>
      <c r="H21" s="17">
        <f>H19*$C$13+$C$14</f>
        <v/>
      </c>
      <c r="I21" s="17">
        <f>I19*$C$13+$C$14</f>
        <v/>
      </c>
      <c r="J21" s="17">
        <f>J19*$C$13+$C$14</f>
        <v/>
      </c>
      <c r="K21" s="17">
        <f>K19*$C$13+$C$14</f>
        <v/>
      </c>
      <c r="L21" s="17">
        <f>L19*$C$13+$C$14</f>
        <v/>
      </c>
      <c r="M21" s="17">
        <f>M19*$C$13+$C$14</f>
        <v/>
      </c>
      <c r="N21" s="17">
        <f>N19*$C$13+$C$14</f>
        <v/>
      </c>
      <c r="O21" s="27">
        <f>SUM(C21:N21)</f>
        <v/>
      </c>
      <c r="P21" s="27">
        <f>ROUND(AVERAGE(C21:N21),0)</f>
        <v/>
      </c>
      <c r="R21" s="14" t="n"/>
      <c r="S21" s="15" t="n"/>
    </row>
    <row r="22">
      <c r="B22" s="9" t="inlineStr">
        <is>
          <t>Zysk</t>
        </is>
      </c>
      <c r="C22" s="23">
        <f>C20-C21</f>
        <v/>
      </c>
      <c r="D22" s="18">
        <f>D20-D21</f>
        <v/>
      </c>
      <c r="E22" s="18">
        <f>E20-E21</f>
        <v/>
      </c>
      <c r="F22" s="18">
        <f>F20-F21</f>
        <v/>
      </c>
      <c r="G22" s="18">
        <f>G20-G21</f>
        <v/>
      </c>
      <c r="H22" s="18">
        <f>H20-H21</f>
        <v/>
      </c>
      <c r="I22" s="18">
        <f>I20-I21</f>
        <v/>
      </c>
      <c r="J22" s="18">
        <f>J20-J21</f>
        <v/>
      </c>
      <c r="K22" s="18">
        <f>K20-K21</f>
        <v/>
      </c>
      <c r="L22" s="18">
        <f>L20-L21</f>
        <v/>
      </c>
      <c r="M22" s="18">
        <f>M20-M21</f>
        <v/>
      </c>
      <c r="N22" s="18">
        <f>N20-N21</f>
        <v/>
      </c>
      <c r="O22" s="28">
        <f>SUM(C22:N22)</f>
        <v/>
      </c>
      <c r="P22" s="28">
        <f>ROUND(AVERAGE(C22:N22),0)</f>
        <v/>
      </c>
      <c r="R22" s="14" t="n"/>
      <c r="S22" s="15" t="n"/>
    </row>
    <row r="24">
      <c r="B24" s="4" t="inlineStr">
        <is>
          <t>Wielkość / Miesiąc</t>
        </is>
      </c>
      <c r="C24" s="5" t="inlineStr">
        <is>
          <t>Sty</t>
        </is>
      </c>
      <c r="D24" s="5" t="inlineStr">
        <is>
          <t>Lut</t>
        </is>
      </c>
      <c r="E24" s="5" t="inlineStr">
        <is>
          <t>Mar</t>
        </is>
      </c>
      <c r="F24" s="5" t="inlineStr">
        <is>
          <t>Kwi</t>
        </is>
      </c>
      <c r="G24" s="5" t="inlineStr">
        <is>
          <t>Maj</t>
        </is>
      </c>
      <c r="H24" s="5" t="inlineStr">
        <is>
          <t>Cze</t>
        </is>
      </c>
      <c r="I24" s="5" t="inlineStr">
        <is>
          <t>Lip</t>
        </is>
      </c>
      <c r="J24" s="5" t="inlineStr">
        <is>
          <t>Sie</t>
        </is>
      </c>
      <c r="K24" s="5" t="inlineStr">
        <is>
          <t>Wrz</t>
        </is>
      </c>
      <c r="L24" s="5" t="inlineStr">
        <is>
          <t>Paź</t>
        </is>
      </c>
      <c r="M24" s="5" t="inlineStr">
        <is>
          <t>Lis</t>
        </is>
      </c>
      <c r="N24" s="5" t="inlineStr">
        <is>
          <t>Gru</t>
        </is>
      </c>
      <c r="O24" s="5" t="inlineStr">
        <is>
          <t>Suma</t>
        </is>
      </c>
      <c r="P24" s="5" t="inlineStr">
        <is>
          <t>Średnia</t>
        </is>
      </c>
    </row>
    <row r="25">
      <c r="B25" s="6" t="inlineStr">
        <is>
          <t>Liczba parówek (szt.)</t>
        </is>
      </c>
      <c r="C25" s="6">
        <f>N19+$C$15</f>
        <v/>
      </c>
      <c r="D25" s="19">
        <f>C25+$C$15</f>
        <v/>
      </c>
      <c r="E25" s="19">
        <f>D25+$C$15</f>
        <v/>
      </c>
      <c r="F25" s="19">
        <f>E25+$C$15</f>
        <v/>
      </c>
      <c r="G25" s="19">
        <f>F25+$C$15</f>
        <v/>
      </c>
      <c r="H25" s="19">
        <f>G25+$C$15</f>
        <v/>
      </c>
      <c r="I25" s="19">
        <f>H25+$C$15</f>
        <v/>
      </c>
      <c r="J25" s="19">
        <f>I25+$C$15</f>
        <v/>
      </c>
      <c r="K25" s="19">
        <f>J25+$C$15</f>
        <v/>
      </c>
      <c r="L25" s="19">
        <f>K25+$C$15</f>
        <v/>
      </c>
      <c r="M25" s="19">
        <f>L25+$C$15</f>
        <v/>
      </c>
      <c r="N25" s="19">
        <f>M25+$C$15</f>
        <v/>
      </c>
      <c r="O25" s="25">
        <f>SUM(C25:N25)</f>
        <v/>
      </c>
      <c r="P25" s="25">
        <f>ROUND(AVERAGE(C25:N25),0)</f>
        <v/>
      </c>
    </row>
    <row r="26">
      <c r="B26" s="7" t="inlineStr">
        <is>
          <t>Wpływy ze sprzedaży (zł)</t>
        </is>
      </c>
      <c r="C26" s="21">
        <f>C25*$C$12</f>
        <v/>
      </c>
      <c r="D26" s="16">
        <f>D25*$C$12</f>
        <v/>
      </c>
      <c r="E26" s="16">
        <f>E25*$C$12</f>
        <v/>
      </c>
      <c r="F26" s="16">
        <f>F25*$C$12</f>
        <v/>
      </c>
      <c r="G26" s="16">
        <f>G25*$C$12</f>
        <v/>
      </c>
      <c r="H26" s="16">
        <f>H25*$C$12</f>
        <v/>
      </c>
      <c r="I26" s="16">
        <f>I25*$C$12</f>
        <v/>
      </c>
      <c r="J26" s="16">
        <f>J25*$C$12</f>
        <v/>
      </c>
      <c r="K26" s="16">
        <f>K25*$C$12</f>
        <v/>
      </c>
      <c r="L26" s="16">
        <f>L25*$C$12</f>
        <v/>
      </c>
      <c r="M26" s="16">
        <f>M25*$C$12</f>
        <v/>
      </c>
      <c r="N26" s="16">
        <f>N25*$C$12</f>
        <v/>
      </c>
      <c r="O26" s="26">
        <f>SUM(C26:N26)</f>
        <v/>
      </c>
      <c r="P26" s="26">
        <f>ROUND(AVERAGE(C26:N26),0)</f>
        <v/>
      </c>
    </row>
    <row r="27" thickBot="1">
      <c r="B27" s="8" t="inlineStr">
        <is>
          <t>Koszty</t>
        </is>
      </c>
      <c r="C27" s="22">
        <f>C25*$C$13+$C$14</f>
        <v/>
      </c>
      <c r="D27" s="17">
        <f>D25*$C$13+$C$14</f>
        <v/>
      </c>
      <c r="E27" s="17">
        <f>E25*$C$13+$C$14</f>
        <v/>
      </c>
      <c r="F27" s="17">
        <f>F25*$C$13+$C$14</f>
        <v/>
      </c>
      <c r="G27" s="17">
        <f>G25*$C$13+$C$14</f>
        <v/>
      </c>
      <c r="H27" s="17">
        <f>H25*$C$13+$C$14</f>
        <v/>
      </c>
      <c r="I27" s="17">
        <f>I25*$C$13+$C$14</f>
        <v/>
      </c>
      <c r="J27" s="17">
        <f>J25*$C$13+$C$14</f>
        <v/>
      </c>
      <c r="K27" s="17">
        <f>K25*$C$13+$C$14</f>
        <v/>
      </c>
      <c r="L27" s="17">
        <f>L25*$C$13+$C$14</f>
        <v/>
      </c>
      <c r="M27" s="17">
        <f>M25*$C$13+$C$14</f>
        <v/>
      </c>
      <c r="N27" s="17">
        <f>N25*$C$13+$C$14</f>
        <v/>
      </c>
      <c r="O27" s="27">
        <f>SUM(C27:N27)</f>
        <v/>
      </c>
      <c r="P27" s="27">
        <f>ROUND(AVERAGE(C27:N27),0)</f>
        <v/>
      </c>
    </row>
    <row r="28">
      <c r="B28" s="9" t="inlineStr">
        <is>
          <t>Zysk</t>
        </is>
      </c>
      <c r="C28" s="23">
        <f>C26-C27</f>
        <v/>
      </c>
      <c r="D28" s="18">
        <f>D26-D27</f>
        <v/>
      </c>
      <c r="E28" s="18">
        <f>E26-E27</f>
        <v/>
      </c>
      <c r="F28" s="18">
        <f>F26-F27</f>
        <v/>
      </c>
      <c r="G28" s="18">
        <f>G26-G27</f>
        <v/>
      </c>
      <c r="H28" s="18">
        <f>H26-H27</f>
        <v/>
      </c>
      <c r="I28" s="18">
        <f>I26-I27</f>
        <v/>
      </c>
      <c r="J28" s="18">
        <f>J26-J27</f>
        <v/>
      </c>
      <c r="K28" s="18">
        <f>K26-K27</f>
        <v/>
      </c>
      <c r="L28" s="18">
        <f>L26-L27</f>
        <v/>
      </c>
      <c r="M28" s="18">
        <f>M26-M27</f>
        <v/>
      </c>
      <c r="N28" s="18">
        <f>N26-N27</f>
        <v/>
      </c>
      <c r="O28" s="28">
        <f>SUM(C28:N28)</f>
        <v/>
      </c>
      <c r="P28" s="28">
        <f>ROUND(AVERAGE(C28:N28),0)</f>
        <v/>
      </c>
    </row>
  </sheetData>
  <conditionalFormatting sqref="C19:N19">
    <cfRule type="cellIs" priority="1" operator="greaterThan" dxfId="0">
      <formula>0</formula>
    </cfRule>
  </conditionalFormatting>
  <conditionalFormatting sqref="C20:N20">
    <cfRule type="expression" priority="2" dxfId="1">
      <formula>C20&gt;AVERAGE($C$20:$N$20)</formula>
    </cfRule>
    <cfRule type="expression" priority="3" dxfId="2">
      <formula>C20&lt;AVERAGE($C$20:$N$20)</formula>
    </cfRule>
  </conditionalFormatting>
  <conditionalFormatting sqref="C21:N21">
    <cfRule type="dataBar" priority="4">
      <dataBar>
        <cfvo type="min"/>
        <cfvo type="max"/>
        <color rgb="FF638EC6"/>
      </dataBar>
    </cfRule>
  </conditionalFormatting>
  <conditionalFormatting sqref="C22:N22">
    <cfRule type="colorScale" priority="5">
      <colorScale>
        <cfvo type="min"/>
        <cfvo type="num" val="0"/>
        <cfvo type="max"/>
        <color rgb="FFF8696B"/>
        <color rgb="FFFFEB84"/>
        <color rgb="FF63BE7B"/>
      </colorScale>
    </cfRule>
    <cfRule type="iconSet" priority="6">
      <iconSet iconSet="3TrafficLights1">
        <cfvo type="percent" val="0"/>
        <cfvo type="percent" val="33"/>
        <cfvo type="percent" val="67"/>
      </iconSet>
    </cfRule>
  </conditionalFormatting>
  <dataValidations count="2">
    <dataValidation sqref="C12" showDropDown="0" showInputMessage="1" showErrorMessage="1" allowBlank="1" errorTitle="Nieprawidłowa cena" error="Cena parówki musi być większa od 0." promptTitle="Cena parówki" prompt="Wpisz wartość większą od 0." type="decimal" operator="greaterThan">
      <formula1>0</formula1>
    </dataValidation>
    <dataValidation sqref="C13" showDropDown="0" showInputMessage="1" showErrorMessage="1" allowBlank="1" errorTitle="Nieprawidłowe koszty zmienne" error="Koszty zmienne muszą być niższe od ceny parówki." promptTitle="Koszty zmienne" prompt="Wpisz wartość niższą od ceny parówki." type="custom">
      <formula1>C13&lt;C12</formula1>
    </dataValidation>
  </dataValidations>
  <pageMargins left="0.7" right="0.7" top="0.75" bottom="0.75" header="0.3" footer="0.3"/>
  <pageSetup orientation="portrait" paperSize="9" copies="0"/>
  <drawing xmlns:r="http://schemas.openxmlformats.org/officeDocument/2006/relationships" r:id="rIdDrawing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7.857142857142857" customWidth="1" min="2" max="2"/>
    <col width="7.857142857142857" customWidth="1" min="3" max="3"/>
    <col width="7.857142857142857" customWidth="1" min="4" max="4"/>
  </cols>
  <sheetData>
    <row r="1">
      <c r="A1" s="29" t="inlineStr">
        <is>
          <t>Tabela wyników w Quidditchu</t>
        </is>
      </c>
    </row>
    <row r="2">
      <c r="A2" s="30" t="inlineStr">
        <is>
          <t>Miesiąc</t>
        </is>
      </c>
      <c r="B2" s="31" t="inlineStr">
        <is>
          <t>Potter Harry</t>
        </is>
      </c>
      <c r="C2" s="31" t="inlineStr">
        <is>
          <t>Weasley Ron</t>
        </is>
      </c>
      <c r="D2" s="32" t="inlineStr">
        <is>
          <t>Malfoy Draco</t>
        </is>
      </c>
    </row>
    <row r="3">
      <c r="A3" s="33" t="n">
        <v>42005</v>
      </c>
      <c r="B3" s="34" t="n">
        <v>1000</v>
      </c>
      <c r="C3" s="34" t="n">
        <v>0.1</v>
      </c>
      <c r="D3" s="35" t="n">
        <v>10</v>
      </c>
    </row>
    <row r="4">
      <c r="A4" s="33" t="n">
        <v>42036</v>
      </c>
      <c r="B4" s="34" t="n">
        <v>1000</v>
      </c>
      <c r="C4" s="34" t="n">
        <v>0.15</v>
      </c>
      <c r="D4" s="35" t="n">
        <v>90.90909090909091</v>
      </c>
    </row>
    <row r="5">
      <c r="A5" s="33" t="n">
        <v>42064</v>
      </c>
      <c r="B5" s="34" t="n">
        <v>1000</v>
      </c>
      <c r="C5" s="34" t="n">
        <v>0.2</v>
      </c>
      <c r="D5" s="35" t="n">
        <v>171.8181818181818</v>
      </c>
    </row>
    <row r="6">
      <c r="A6" s="33" t="n">
        <v>42095</v>
      </c>
      <c r="B6" s="34" t="n">
        <v>1000</v>
      </c>
      <c r="C6" s="34" t="n">
        <v>0.25</v>
      </c>
      <c r="D6" s="35" t="n">
        <v>252.7272727272727</v>
      </c>
    </row>
    <row r="7">
      <c r="A7" s="33" t="n">
        <v>42125</v>
      </c>
      <c r="B7" s="34" t="n">
        <v>1000</v>
      </c>
      <c r="C7" s="34" t="n">
        <v>0.3</v>
      </c>
      <c r="D7" s="35" t="n">
        <v>333.6363636363636</v>
      </c>
    </row>
    <row r="8">
      <c r="A8" s="33" t="n">
        <v>42156</v>
      </c>
      <c r="B8" s="34" t="n">
        <v>1000</v>
      </c>
      <c r="C8" s="34" t="n">
        <v>0.35</v>
      </c>
      <c r="D8" s="35" t="n">
        <v>414.5454545454546</v>
      </c>
    </row>
    <row r="9">
      <c r="A9" s="33" t="n">
        <v>42186</v>
      </c>
      <c r="B9" s="34" t="n">
        <v>1000</v>
      </c>
      <c r="C9" s="34" t="n">
        <v>0.4</v>
      </c>
      <c r="D9" s="35" t="n">
        <v>495.4545454545454</v>
      </c>
    </row>
    <row r="10">
      <c r="A10" s="33" t="n">
        <v>42217</v>
      </c>
      <c r="B10" s="34" t="n">
        <v>1000</v>
      </c>
      <c r="C10" s="34" t="n">
        <v>0.45</v>
      </c>
      <c r="D10" s="35" t="n">
        <v>576.3636363636364</v>
      </c>
    </row>
    <row r="11">
      <c r="A11" s="33" t="n">
        <v>42248</v>
      </c>
      <c r="B11" s="34" t="n">
        <v>1000</v>
      </c>
      <c r="C11" s="34" t="n">
        <v>0.5</v>
      </c>
      <c r="D11" s="35" t="n">
        <v>657.2727272727273</v>
      </c>
    </row>
    <row r="12">
      <c r="A12" s="33" t="n">
        <v>42278</v>
      </c>
      <c r="B12" s="34" t="n">
        <v>1000</v>
      </c>
      <c r="C12" s="34" t="n">
        <v>0.55</v>
      </c>
      <c r="D12" s="35" t="n">
        <v>738.1818181818181</v>
      </c>
    </row>
    <row r="13">
      <c r="A13" s="33" t="n">
        <v>42309</v>
      </c>
      <c r="B13" s="34" t="n">
        <v>1000</v>
      </c>
      <c r="C13" s="34" t="n">
        <v>0.6</v>
      </c>
      <c r="D13" s="35" t="n">
        <v>819.0909090909091</v>
      </c>
    </row>
    <row r="14">
      <c r="A14" s="36" t="n">
        <v>42339</v>
      </c>
      <c r="B14" s="37" t="n">
        <v>1000</v>
      </c>
      <c r="C14" s="37" t="n">
        <v>0.65</v>
      </c>
      <c r="D14" s="38" t="n">
        <v>900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</dc:creator>
  <dcterms:created xsi:type="dcterms:W3CDTF">2010-11-22T17:17:22Z</dcterms:created>
  <dcterms:modified xsi:type="dcterms:W3CDTF">2026-10-14T18:42:43Z</dcterms:modified>
  <cp:lastModifiedBy>Wiesław Dobrowolski</cp:lastModifiedBy>
</cp:coreProperties>
</file>