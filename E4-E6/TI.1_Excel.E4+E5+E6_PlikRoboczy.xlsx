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Wykonalność" sheetId="1" state="visible" r:id="rId1"/>
    <sheet name="Podsumowanie scenariuszy" sheetId="2" state="visible" r:id="rId2"/>
  </sheets>
  <definedNames>
    <definedName name="Cena_1_parowki">'Wykonalność'!$C$6</definedName>
    <definedName name="Koszt_Smoczego_sadla">'Wykonalność'!$D$14</definedName>
    <definedName name="Koszt_Mrowczego_miesa">'Wykonalność'!$E$14</definedName>
    <definedName name="Koszty_roczne_Smocze_sadlo">'Wykonalność'!$D$48</definedName>
    <definedName name="Koszty_roczne_Mrowcze_mieso">'Wykonalność'!$E$48</definedName>
    <definedName name="Koszty_roczne_Makulatura">'Wykonalność'!$F$48</definedName>
    <definedName name="Koszty_roczne_Magic_Stufff">'Wykonalność'!$G$48</definedName>
    <definedName name="Koszty_roczne_Woda">'Wykonalność'!$H$48</definedName>
    <definedName name="Koszty_roczne_Razem">'Wykonalność'!$I$48</definedName>
    <definedName name="ZYSK">'Wykonalność'!$I$57</definedName>
    <definedName name="solver_adj" localSheetId="0" hidden="1">Wykonalność!$D$13:$E$13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Wykonalność!$I$57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_xlnm.Print_Area" localSheetId="0">'Wykonalność'!$A$1:$N$135</definedName>
    <definedName name="_xlnm.Print_Area" localSheetId="1">'Podsumowanie scenariuszy'!$A$1:$F$22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\ [$€-1]"/>
    <numFmt numFmtId="165" formatCode="#,##0\ [$€-1]"/>
    <numFmt numFmtId="166" formatCode="0.0"/>
    <numFmt numFmtId="167" formatCode="#,##0.00;[Red]-#,##0.00"/>
  </numFmts>
  <fonts count="20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b val="1"/>
      <sz val="11"/>
      <color theme="1"/>
      <name val="Calibri"/>
      <family val="2"/>
      <charset val="238"/>
      <scheme val="minor"/>
    </font>
    <font>
      <b val="1"/>
      <u val="single"/>
      <sz val="12"/>
      <color theme="1"/>
      <name val="Calibri"/>
      <family val="2"/>
      <charset val="238"/>
      <scheme val="minor"/>
    </font>
    <font>
      <b val="1"/>
      <sz val="14"/>
      <color theme="1"/>
      <name val="Times New Roman"/>
      <family val="1"/>
      <charset val="238"/>
    </font>
    <font>
      <b val="1"/>
      <sz val="11"/>
      <color rgb="FFFF0000"/>
      <name val="Calibri"/>
      <family val="2"/>
      <charset val="238"/>
      <scheme val="minor"/>
    </font>
    <font>
      <b val="1"/>
      <sz val="14"/>
      <color rgb="FFFF0000"/>
      <name val="Calibri"/>
      <family val="2"/>
      <charset val="238"/>
      <scheme val="minor"/>
    </font>
    <font>
      <b val="1"/>
      <sz val="12"/>
      <color rgb="FFFF0000"/>
      <name val="Calibri"/>
      <family val="2"/>
      <charset val="238"/>
      <scheme val="minor"/>
    </font>
    <font>
      <b val="1"/>
      <sz val="11"/>
      <color rgb="FF00B0F0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  <font>
      <b val="1"/>
      <sz val="12"/>
      <color theme="5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 val="1"/>
      <sz val="14"/>
      <color rgb="FFFFFFFF"/>
    </font>
    <font>
      <b val="1"/>
      <color rgb="FFFFFFFF"/>
    </font>
    <font>
      <b val="1"/>
      <color rgb="FF1F4E79"/>
    </font>
    <font>
      <b val="1"/>
      <color rgb="FF006100"/>
    </font>
    <font>
      <b val="1"/>
      <color rgb="FFC00000"/>
    </font>
    <font>
      <b val="1"/>
    </font>
    <font>
      <i val="1"/>
      <sz val="9"/>
      <color rgb="FF595959"/>
    </font>
  </fonts>
  <fills count="16">
    <fill>
      <patternFill/>
    </fill>
    <fill>
      <patternFill patternType="gray125"/>
    </fill>
    <fill>
      <patternFill patternType="solid">
        <fgColor rgb="FFFFC7CE"/>
      </patternFill>
    </fill>
    <fill>
      <patternFill patternType="lightUp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5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5" tint="-0.249946592608417"/>
      </left>
      <right style="medium">
        <color theme="5" tint="-0.249946592608417"/>
      </right>
      <top style="medium">
        <color theme="5" tint="-0.249946592608417"/>
      </top>
      <bottom style="medium">
        <color theme="5" tint="-0.249946592608417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theme="3" tint="0.3999450666829432"/>
      </left>
      <right/>
      <top/>
      <bottom/>
      <diagonal/>
    </border>
    <border>
      <left/>
      <right style="thin">
        <color theme="3" tint="0.3999450666829432"/>
      </right>
      <top/>
      <bottom/>
      <diagonal/>
    </border>
    <border>
      <left/>
      <right/>
      <top/>
      <bottom style="thin">
        <color theme="3" tint="0.3999450666829432"/>
      </bottom>
      <diagonal/>
    </border>
    <border>
      <left style="thin">
        <color theme="3" tint="0.3999145481734672"/>
      </left>
      <right/>
      <top style="thin">
        <color theme="3" tint="0.3999145481734672"/>
      </top>
      <bottom/>
      <diagonal/>
    </border>
    <border>
      <left/>
      <right/>
      <top style="thin">
        <color theme="3" tint="0.3999145481734672"/>
      </top>
      <bottom/>
      <diagonal/>
    </border>
    <border>
      <left/>
      <right style="thin">
        <color theme="3" tint="0.3999145481734672"/>
      </right>
      <top style="thin">
        <color theme="3" tint="0.3999145481734672"/>
      </top>
      <bottom/>
      <diagonal/>
    </border>
    <border>
      <left style="thin">
        <color theme="3" tint="0.3999145481734672"/>
      </left>
      <right/>
      <top/>
      <bottom/>
      <diagonal/>
    </border>
    <border>
      <left/>
      <right style="thin">
        <color theme="3" tint="0.3999145481734672"/>
      </right>
      <top/>
      <bottom/>
      <diagonal/>
    </border>
    <border>
      <left style="thin">
        <color theme="3" tint="0.3999145481734672"/>
      </left>
      <right/>
      <top/>
      <bottom style="thin">
        <color theme="3" tint="0.3999450666829432"/>
      </bottom>
      <diagonal/>
    </border>
    <border>
      <left/>
      <right style="thin">
        <color theme="3" tint="0.3999145481734672"/>
      </right>
      <top/>
      <bottom style="thin">
        <color theme="3" tint="0.3999450666829432"/>
      </bottom>
      <diagonal/>
    </border>
    <border>
      <left style="thin">
        <color theme="3" tint="0.3999450666829432"/>
      </left>
      <right/>
      <top style="thin">
        <color theme="3" tint="0.3999450666829432"/>
      </top>
      <bottom style="thin">
        <color theme="3" tint="0.3999145481734672"/>
      </bottom>
      <diagonal/>
    </border>
    <border>
      <left/>
      <right/>
      <top style="thin">
        <color theme="3" tint="0.3999450666829432"/>
      </top>
      <bottom style="thin">
        <color theme="3" tint="0.3999145481734672"/>
      </bottom>
      <diagonal/>
    </border>
    <border>
      <left/>
      <right style="thin">
        <color theme="3" tint="0.3999450666829432"/>
      </right>
      <top style="thin">
        <color theme="3" tint="0.3999450666829432"/>
      </top>
      <bottom style="thin">
        <color theme="3" tint="0.3999145481734672"/>
      </bottom>
      <diagonal/>
    </border>
    <border>
      <left style="thin">
        <color theme="3" tint="0.3999450666829432"/>
      </left>
      <right/>
      <top style="thin">
        <color theme="3" tint="0.3999145481734672"/>
      </top>
      <bottom style="thin">
        <color theme="3" tint="0.3999450666829432"/>
      </bottom>
      <diagonal/>
    </border>
    <border>
      <left/>
      <right/>
      <top style="thin">
        <color theme="3" tint="0.3999145481734672"/>
      </top>
      <bottom style="thin">
        <color theme="3" tint="0.3999450666829432"/>
      </bottom>
      <diagonal/>
    </border>
    <border>
      <left/>
      <right style="medium">
        <color theme="5" tint="-0.249946592608417"/>
      </right>
      <top style="thin">
        <color theme="3" tint="0.3999145481734672"/>
      </top>
      <bottom style="thin">
        <color theme="3" tint="0.3999450666829432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1" fillId="2" borderId="0"/>
  </cellStyleXfs>
  <cellXfs count="121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4" borderId="0" applyAlignment="1" pivotButton="0" quotePrefix="0" xfId="0">
      <alignment vertical="center"/>
    </xf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0" fillId="0" borderId="2" applyAlignment="1" pivotButton="0" quotePrefix="0" xfId="0">
      <alignment horizontal="center" wrapText="1"/>
    </xf>
    <xf numFmtId="0" fontId="0" fillId="0" borderId="2" applyAlignment="1" pivotButton="0" quotePrefix="0" xfId="0">
      <alignment horizontal="center" vertical="center" wrapText="1"/>
    </xf>
    <xf numFmtId="9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1" fontId="0" fillId="0" borderId="2" pivotButton="0" quotePrefix="0" xfId="0"/>
    <xf numFmtId="0" fontId="0" fillId="0" borderId="7" pivotButton="0" quotePrefix="0" xfId="0"/>
    <xf numFmtId="0" fontId="2" fillId="0" borderId="0" pivotButton="0" quotePrefix="0" xfId="0"/>
    <xf numFmtId="0" fontId="7" fillId="0" borderId="0" pivotButton="0" quotePrefix="0" xfId="0"/>
    <xf numFmtId="0" fontId="0" fillId="0" borderId="8" applyAlignment="1" pivotButton="0" quotePrefix="0" xfId="0">
      <alignment horizontal="left"/>
    </xf>
    <xf numFmtId="0" fontId="0" fillId="0" borderId="4" pivotButton="0" quotePrefix="0" xfId="0"/>
    <xf numFmtId="0" fontId="0" fillId="3" borderId="4" pivotButton="0" quotePrefix="0" xfId="0"/>
    <xf numFmtId="0" fontId="9" fillId="0" borderId="0" pivotButton="0" quotePrefix="0" xfId="0"/>
    <xf numFmtId="3" fontId="0" fillId="0" borderId="11" pivotButton="0" quotePrefix="0" xfId="0"/>
    <xf numFmtId="9" fontId="0" fillId="8" borderId="2" pivotButton="0" quotePrefix="0" xfId="0"/>
    <xf numFmtId="0" fontId="0" fillId="0" borderId="3" pivotButton="0" quotePrefix="0" xfId="0"/>
    <xf numFmtId="3" fontId="0" fillId="0" borderId="12" pivotButton="0" quotePrefix="0" xfId="0"/>
    <xf numFmtId="2" fontId="0" fillId="0" borderId="13" pivotButton="0" quotePrefix="0" xfId="0"/>
    <xf numFmtId="2" fontId="5" fillId="0" borderId="13" pivotButton="0" quotePrefix="0" xfId="0"/>
    <xf numFmtId="2" fontId="0" fillId="0" borderId="14" pivotButton="0" quotePrefix="0" xfId="0"/>
    <xf numFmtId="2" fontId="0" fillId="0" borderId="15" pivotButton="0" quotePrefix="0" xfId="0"/>
    <xf numFmtId="3" fontId="0" fillId="0" borderId="1" pivotButton="0" quotePrefix="0" xfId="0"/>
    <xf numFmtId="3" fontId="0" fillId="0" borderId="16" pivotButton="0" quotePrefix="0" xfId="0"/>
    <xf numFmtId="2" fontId="5" fillId="0" borderId="15" pivotButton="0" quotePrefix="0" xfId="0"/>
    <xf numFmtId="2" fontId="0" fillId="0" borderId="17" pivotButton="0" quotePrefix="0" xfId="0"/>
    <xf numFmtId="3" fontId="0" fillId="0" borderId="18" pivotButton="0" quotePrefix="0" xfId="0"/>
    <xf numFmtId="3" fontId="0" fillId="0" borderId="19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3" fontId="10" fillId="7" borderId="10" applyAlignment="1" pivotButton="0" quotePrefix="0" xfId="0">
      <alignment horizontal="center" vertical="center"/>
    </xf>
    <xf numFmtId="164" fontId="11" fillId="2" borderId="20" pivotButton="0" quotePrefix="0" xfId="1"/>
    <xf numFmtId="0" fontId="0" fillId="0" borderId="7" applyAlignment="1" pivotButton="0" quotePrefix="0" xfId="0">
      <alignment horizontal="right"/>
    </xf>
    <xf numFmtId="165" fontId="0" fillId="6" borderId="20" pivotButton="0" quotePrefix="0" xfId="0"/>
    <xf numFmtId="164" fontId="0" fillId="0" borderId="2" pivotButton="0" quotePrefix="0" xfId="0"/>
    <xf numFmtId="164" fontId="11" fillId="2" borderId="2" pivotButton="0" quotePrefix="0" xfId="1"/>
    <xf numFmtId="0" fontId="0" fillId="0" borderId="21" pivotButton="0" quotePrefix="0" xfId="0"/>
    <xf numFmtId="1" fontId="0" fillId="0" borderId="22" pivotButton="0" quotePrefix="0" xfId="0"/>
    <xf numFmtId="166" fontId="11" fillId="2" borderId="20" pivotButton="0" quotePrefix="0" xfId="1"/>
    <xf numFmtId="1" fontId="0" fillId="10" borderId="0" pivotButton="0" quotePrefix="0" xfId="0"/>
    <xf numFmtId="1" fontId="0" fillId="10" borderId="9" pivotButton="0" quotePrefix="0" xfId="0"/>
    <xf numFmtId="0" fontId="0" fillId="3" borderId="5" pivotButton="0" quotePrefix="0" xfId="0"/>
    <xf numFmtId="3" fontId="0" fillId="0" borderId="24" pivotButton="0" quotePrefix="0" xfId="0"/>
    <xf numFmtId="0" fontId="0" fillId="0" borderId="21" applyAlignment="1" pivotButton="0" quotePrefix="0" xfId="0">
      <alignment horizontal="centerContinuous"/>
    </xf>
    <xf numFmtId="0" fontId="0" fillId="0" borderId="5" applyAlignment="1" pivotButton="0" quotePrefix="0" xfId="0">
      <alignment horizontal="centerContinuous"/>
    </xf>
    <xf numFmtId="3" fontId="0" fillId="0" borderId="22" pivotButton="0" quotePrefix="0" xfId="0"/>
    <xf numFmtId="3" fontId="0" fillId="0" borderId="23" pivotButton="0" quotePrefix="0" xfId="0"/>
    <xf numFmtId="3" fontId="8" fillId="0" borderId="2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wrapText="1"/>
    </xf>
    <xf numFmtId="166" fontId="0" fillId="4" borderId="22" pivotButton="0" quotePrefix="0" xfId="0"/>
    <xf numFmtId="166" fontId="0" fillId="11" borderId="22" pivotButton="0" quotePrefix="0" xfId="0"/>
    <xf numFmtId="3" fontId="0" fillId="9" borderId="22" pivotButton="0" quotePrefix="0" xfId="0"/>
    <xf numFmtId="3" fontId="0" fillId="9" borderId="23" pivotButton="0" quotePrefix="0" xfId="0"/>
    <xf numFmtId="3" fontId="0" fillId="9" borderId="2" pivotButton="0" quotePrefix="0" xfId="0"/>
    <xf numFmtId="3" fontId="0" fillId="9" borderId="3" pivotButton="0" quotePrefix="0" xfId="0"/>
    <xf numFmtId="3" fontId="0" fillId="12" borderId="22" pivotButton="0" quotePrefix="0" xfId="0"/>
    <xf numFmtId="3" fontId="0" fillId="13" borderId="4" applyAlignment="1" pivotButton="0" quotePrefix="0" xfId="0">
      <alignment horizontal="center"/>
    </xf>
    <xf numFmtId="0" fontId="0" fillId="13" borderId="4" applyAlignment="1" pivotButton="0" quotePrefix="0" xfId="0">
      <alignment horizontal="center"/>
    </xf>
    <xf numFmtId="0" fontId="0" fillId="7" borderId="26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right"/>
    </xf>
    <xf numFmtId="3" fontId="2" fillId="7" borderId="27" pivotButton="0" quotePrefix="0" xfId="0"/>
    <xf numFmtId="3" fontId="0" fillId="6" borderId="27" pivotButton="0" quotePrefix="0" xfId="0"/>
    <xf numFmtId="0" fontId="0" fillId="7" borderId="29" pivotButton="0" quotePrefix="0" xfId="0"/>
    <xf numFmtId="0" fontId="0" fillId="7" borderId="30" pivotButton="0" quotePrefix="0" xfId="0"/>
    <xf numFmtId="0" fontId="0" fillId="7" borderId="30" applyAlignment="1" pivotButton="0" quotePrefix="0" xfId="0">
      <alignment horizontal="right"/>
    </xf>
    <xf numFmtId="3" fontId="0" fillId="7" borderId="31" pivotButton="0" quotePrefix="0" xfId="0"/>
    <xf numFmtId="0" fontId="0" fillId="7" borderId="32" pivotButton="0" quotePrefix="0" xfId="0"/>
    <xf numFmtId="3" fontId="0" fillId="7" borderId="33" pivotButton="0" quotePrefix="0" xfId="0"/>
    <xf numFmtId="0" fontId="0" fillId="7" borderId="34" pivotButton="0" quotePrefix="0" xfId="0"/>
    <xf numFmtId="0" fontId="0" fillId="7" borderId="28" applyAlignment="1" pivotButton="0" quotePrefix="0" xfId="0">
      <alignment horizontal="right"/>
    </xf>
    <xf numFmtId="3" fontId="2" fillId="7" borderId="35" pivotButton="0" quotePrefix="0" xfId="0"/>
    <xf numFmtId="0" fontId="0" fillId="7" borderId="36" pivotButton="0" quotePrefix="0" xfId="0"/>
    <xf numFmtId="0" fontId="0" fillId="7" borderId="37" pivotButton="0" quotePrefix="0" xfId="0"/>
    <xf numFmtId="0" fontId="0" fillId="7" borderId="37" applyAlignment="1" pivotButton="0" quotePrefix="0" xfId="0">
      <alignment horizontal="right"/>
    </xf>
    <xf numFmtId="3" fontId="0" fillId="7" borderId="38" pivotButton="0" quotePrefix="0" xfId="0"/>
    <xf numFmtId="0" fontId="0" fillId="7" borderId="39" pivotButton="0" quotePrefix="0" xfId="0"/>
    <xf numFmtId="0" fontId="0" fillId="7" borderId="40" pivotButton="0" quotePrefix="0" xfId="0"/>
    <xf numFmtId="0" fontId="6" fillId="7" borderId="41" applyAlignment="1" pivotButton="0" quotePrefix="0" xfId="0">
      <alignment horizontal="right"/>
    </xf>
    <xf numFmtId="164" fontId="0" fillId="6" borderId="20" applyAlignment="1" pivotButton="0" quotePrefix="0" xfId="0">
      <alignment horizontal="right"/>
    </xf>
    <xf numFmtId="0" fontId="11" fillId="0" borderId="0" pivotButton="0" quotePrefix="0" xfId="0"/>
    <xf numFmtId="166" fontId="11" fillId="0" borderId="0" pivotButton="0" quotePrefix="0" xfId="0"/>
    <xf numFmtId="0" fontId="0" fillId="0" borderId="7" applyAlignment="1" pivotButton="0" quotePrefix="0" xfId="0">
      <alignment horizontal="center" wrapText="1"/>
    </xf>
    <xf numFmtId="0" fontId="0" fillId="0" borderId="42" applyAlignment="1" pivotButton="0" quotePrefix="0" xfId="0">
      <alignment horizontal="right"/>
    </xf>
    <xf numFmtId="3" fontId="0" fillId="0" borderId="43" pivotButton="0" quotePrefix="0" xfId="0"/>
    <xf numFmtId="0" fontId="0" fillId="0" borderId="44" pivotButton="0" quotePrefix="0" xfId="0"/>
    <xf numFmtId="3" fontId="0" fillId="0" borderId="45" pivotButton="0" quotePrefix="0" xfId="0"/>
    <xf numFmtId="3" fontId="5" fillId="0" borderId="44" pivotButton="0" quotePrefix="0" xfId="0"/>
    <xf numFmtId="0" fontId="0" fillId="0" borderId="46" pivotButton="0" quotePrefix="0" xfId="0"/>
    <xf numFmtId="3" fontId="0" fillId="0" borderId="47" pivotButton="0" quotePrefix="0" xfId="0"/>
    <xf numFmtId="0" fontId="0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4" fontId="11" fillId="2" borderId="20" pivotButton="0" quotePrefix="0" xfId="1"/>
    <xf numFmtId="164" fontId="0" fillId="6" borderId="20" applyAlignment="1" pivotButton="0" quotePrefix="0" xfId="0">
      <alignment horizontal="right"/>
    </xf>
    <xf numFmtId="165" fontId="0" fillId="6" borderId="20" pivotButton="0" quotePrefix="0" xfId="0"/>
    <xf numFmtId="166" fontId="11" fillId="2" borderId="20" pivotButton="0" quotePrefix="0" xfId="1"/>
    <xf numFmtId="164" fontId="0" fillId="0" borderId="2" pivotButton="0" quotePrefix="0" xfId="0"/>
    <xf numFmtId="164" fontId="11" fillId="2" borderId="2" pivotButton="0" quotePrefix="0" xfId="1"/>
    <xf numFmtId="166" fontId="0" fillId="11" borderId="22" pivotButton="0" quotePrefix="0" xfId="0"/>
    <xf numFmtId="166" fontId="0" fillId="4" borderId="22" pivotButton="0" quotePrefix="0" xfId="0"/>
    <xf numFmtId="166" fontId="11" fillId="0" borderId="0" pivotButton="0" quotePrefix="0" xfId="0"/>
    <xf numFmtId="0" fontId="13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center" vertical="center"/>
    </xf>
    <xf numFmtId="0" fontId="15" fillId="0" borderId="0" pivotButton="0" quotePrefix="0" xfId="0"/>
    <xf numFmtId="0" fontId="0" fillId="0" borderId="50" pivotButton="0" quotePrefix="0" xfId="0"/>
    <xf numFmtId="164" fontId="0" fillId="0" borderId="50" applyAlignment="1" pivotButton="0" quotePrefix="0" xfId="0">
      <alignment horizontal="center"/>
    </xf>
    <xf numFmtId="164" fontId="0" fillId="15" borderId="50" applyAlignment="1" pivotButton="0" quotePrefix="0" xfId="0">
      <alignment horizontal="center"/>
    </xf>
    <xf numFmtId="167" fontId="0" fillId="0" borderId="50" applyAlignment="1" pivotButton="0" quotePrefix="0" xfId="0">
      <alignment horizontal="center"/>
    </xf>
    <xf numFmtId="0" fontId="18" fillId="0" borderId="50" pivotButton="0" quotePrefix="0" xfId="0"/>
    <xf numFmtId="167" fontId="16" fillId="0" borderId="50" applyAlignment="1" pivotButton="0" quotePrefix="0" xfId="0">
      <alignment horizontal="center"/>
    </xf>
    <xf numFmtId="167" fontId="17" fillId="0" borderId="50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</cellXfs>
  <cellStyles count="2">
    <cellStyle name="Normalny" xfId="0" builtinId="0"/>
    <cellStyle name="Zły" xfId="1" builtinId="27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Koszty składników w czasie (styczeń–grudzień)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'Wykonalność'!D35</f>
            </strRef>
          </tx>
          <spPr>
            <a:ln>
              <a:prstDash val="solid"/>
            </a:ln>
          </spPr>
          <cat>
            <strRef>
              <f>'Wykonalność'!$B$36:$B$47</f>
            </strRef>
          </cat>
          <val>
            <numRef>
              <f>'Wykonalność'!$D$36:$D$47</f>
            </numRef>
          </val>
        </ser>
        <ser>
          <idx val="1"/>
          <order val="1"/>
          <tx>
            <strRef>
              <f>'Wykonalność'!E35</f>
            </strRef>
          </tx>
          <spPr>
            <a:ln>
              <a:prstDash val="solid"/>
            </a:ln>
          </spPr>
          <cat>
            <strRef>
              <f>'Wykonalność'!$B$36:$B$47</f>
            </strRef>
          </cat>
          <val>
            <numRef>
              <f>'Wykonalność'!$E$36:$E$47</f>
            </numRef>
          </val>
        </ser>
        <ser>
          <idx val="2"/>
          <order val="2"/>
          <tx>
            <strRef>
              <f>'Wykonalność'!F35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strRef>
              <f>'Wykonalność'!$B$36:$B$47</f>
            </strRef>
          </cat>
          <val>
            <numRef>
              <f>'Wykonalność'!$F$36:$F$47</f>
            </numRef>
          </val>
        </ser>
        <ser>
          <idx val="3"/>
          <order val="3"/>
          <tx>
            <strRef>
              <f>'Wykonalność'!G35</f>
            </strRef>
          </tx>
          <spPr>
            <a:ln>
              <a:prstDash val="solid"/>
            </a:ln>
          </spPr>
          <cat>
            <strRef>
              <f>'Wykonalność'!$B$36:$B$47</f>
            </strRef>
          </cat>
          <val>
            <numRef>
              <f>'Wykonalność'!$G$36:$G$47</f>
            </numRef>
          </val>
        </ser>
        <ser>
          <idx val="4"/>
          <order val="4"/>
          <tx>
            <strRef>
              <f>'Wykonalność'!H35</f>
            </strRef>
          </tx>
          <spPr>
            <a:ln>
              <a:prstDash val="solid"/>
            </a:ln>
          </spPr>
          <cat>
            <strRef>
              <f>'Wykonalność'!$B$36:$B$47</f>
            </strRef>
          </cat>
          <val>
            <numRef>
              <f>'Wykonalność'!$H$36:$H$47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Miesiąc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Koszt [€]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Struktura rocznych kosztów składników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strRef>
              <f>'Wykonalność'!$D$35:$H$35</f>
            </strRef>
          </cat>
          <val>
            <numRef>
              <f>'Wykonalność'!$D$48:$H$48</f>
            </numRef>
          </val>
        </ser>
        <dLbls>
          <dLblPos val="bestFit"/>
          <showLegendKey val="0"/>
          <showVal val="0"/>
          <showCatName val="1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Analiza</author>
    <author>WD</author>
  </authors>
  <commentList>
    <comment ref="C9" authorId="0" shapeId="0">
      <text>
        <t>Szukaj wyniku: ZYSK = 10 000 € przy wadze 90,386 g.
Próg rentowności (ZYSK = 0) to ok. 98,39 g.</t>
      </text>
    </comment>
    <comment ref="H12" authorId="1" shapeId="0">
      <text>
        <t>Dopełnić do 100%</t>
      </text>
    </comment>
    <comment ref="D17" authorId="1" shapeId="0">
      <text>
        <t>Ile kilogramów poszczególnych składników trzeba zamówić każdego miesiąca.</t>
      </text>
    </comment>
    <comment ref="C18" authorId="1" shapeId="0">
      <text>
        <t>Ile parówek będzie sprzedanych w każdym miesiącu.</t>
      </text>
    </comment>
    <comment ref="D52" authorId="0" shapeId="0">
      <text>
        <t>WYSZUKAJ (LOOKUP) zakłada dane posortowane rosnąco.
Kolumna I36:I47 nie jest posortowana, więc wynik jest niewiarygodny.
Próba: =LOOKUP(D51,I36:I47,B36:B47).
Dlatego użyto INDEKS + PODAJ.POZYCJĘ.</t>
      </text>
    </comment>
    <comment ref="I57" authorId="0" shapeId="0">
      <text>
        <t>Przy wadze 100 g (stan po E4) ZYSK = -2 019 €.
Po Szukaj wyniku (90,386 g) ZYSK = 10 000 €.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84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105</row>
      <rowOff>0</rowOff>
    </from>
    <ext cx="864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U82"/>
  <sheetViews>
    <sheetView showGridLines="0" tabSelected="1" workbookViewId="0">
      <selection activeCell="A1" sqref="A1"/>
    </sheetView>
  </sheetViews>
  <sheetFormatPr baseColWidth="8" defaultRowHeight="15"/>
  <cols>
    <col width="8.42578125" customWidth="1" min="1" max="1"/>
    <col width="11.85546875" customWidth="1" min="2" max="3"/>
    <col width="8.5703125" customWidth="1" min="4" max="4"/>
    <col width="9.5703125" customWidth="1" min="5" max="5"/>
    <col width="8.5703125" customWidth="1" min="6" max="6"/>
    <col width="9.7109375" customWidth="1" min="7" max="7"/>
    <col width="8.5703125" customWidth="1" min="8" max="26"/>
  </cols>
  <sheetData>
    <row r="1" ht="9" customHeight="1"/>
    <row r="2" ht="18.75" customFormat="1" customHeight="1" s="5">
      <c r="A2" s="4" t="inlineStr">
        <is>
          <t>Hog-Dog sp. z o.o. - Studium wykonalności - analiza warunkowa</t>
        </is>
      </c>
      <c r="B2" s="4" t="n"/>
    </row>
    <row r="3" ht="6" customHeight="1"/>
    <row r="4" ht="18.75" customFormat="1" customHeight="1" s="3">
      <c r="A4" s="2" t="inlineStr">
        <is>
          <t>Dane i założenia (zmienne wejściowe)</t>
        </is>
      </c>
      <c r="B4" s="2" t="n"/>
    </row>
    <row r="5" ht="15.75" customHeight="1">
      <c r="B5" s="14" t="inlineStr">
        <is>
          <t>Tabela 1</t>
        </is>
      </c>
    </row>
    <row r="6">
      <c r="A6" s="21" t="n"/>
      <c r="B6" s="37" t="inlineStr">
        <is>
          <t>Cena 1 parówki:</t>
        </is>
      </c>
      <c r="C6" s="101" t="n">
        <v>3</v>
      </c>
      <c r="D6" s="12" t="inlineStr">
        <is>
          <t>(ile zapłaci klient za 1 parówkę)</t>
        </is>
      </c>
      <c r="E6" s="12" t="n"/>
      <c r="F6" s="12" t="n"/>
      <c r="G6" s="12" t="n"/>
      <c r="H6" s="12" t="n"/>
      <c r="I6" s="12" t="n"/>
      <c r="J6" s="12" t="n"/>
      <c r="K6" s="16" t="n"/>
    </row>
    <row r="7">
      <c r="A7" s="21" t="n"/>
      <c r="B7" s="37" t="inlineStr">
        <is>
          <t>Koszty zmienne:</t>
        </is>
      </c>
      <c r="C7" s="102">
        <f>IF(C31&lt;&gt;0,I48/C31,"Nie można dzielić przez 0")</f>
        <v>1.94827586206897</v>
      </c>
      <c r="D7" s="12" t="inlineStr">
        <is>
          <t>(koszt składników jednej parówki)</t>
        </is>
      </c>
      <c r="E7" s="12" t="n"/>
      <c r="F7" s="12" t="n"/>
      <c r="G7" s="12" t="n"/>
      <c r="H7" s="12" t="n"/>
      <c r="I7" s="12" t="n"/>
      <c r="J7" s="12" t="n"/>
      <c r="K7" s="16" t="n"/>
    </row>
    <row r="8">
      <c r="A8" s="21" t="n"/>
      <c r="B8" s="37" t="inlineStr">
        <is>
          <t>Koszty stałe:</t>
        </is>
      </c>
      <c r="C8" s="103" t="n">
        <v>3000</v>
      </c>
      <c r="D8" s="12" t="inlineStr">
        <is>
          <t>(miesięczne wydatki niezależne od ilości wyprodukowanych parówek)</t>
        </is>
      </c>
      <c r="E8" s="12" t="n"/>
      <c r="F8" s="12" t="n"/>
      <c r="G8" s="12" t="n"/>
      <c r="H8" s="12" t="n"/>
      <c r="I8" s="12" t="n"/>
      <c r="J8" s="12" t="n"/>
      <c r="K8" s="16" t="n"/>
    </row>
    <row r="9">
      <c r="A9" s="21" t="n"/>
      <c r="B9" s="37" t="inlineStr">
        <is>
          <t>Waga parówki:</t>
        </is>
      </c>
      <c r="C9" s="104" t="n">
        <v>90.38626128828417</v>
      </c>
      <c r="D9" s="12" t="inlineStr">
        <is>
          <t>gramów</t>
        </is>
      </c>
      <c r="E9" s="12" t="n"/>
      <c r="F9" s="12" t="n"/>
      <c r="G9" s="12" t="n"/>
      <c r="H9" s="12" t="n"/>
      <c r="I9" s="12" t="n"/>
      <c r="J9" s="12" t="n"/>
      <c r="K9" s="16" t="n"/>
    </row>
    <row r="10">
      <c r="B10" s="1" t="n"/>
    </row>
    <row r="11">
      <c r="C11" s="10" t="n"/>
      <c r="D11" s="96" t="inlineStr">
        <is>
          <t>Składniki</t>
        </is>
      </c>
      <c r="E11" s="12" t="n"/>
      <c r="F11" s="12" t="n"/>
      <c r="G11" s="12" t="n"/>
      <c r="H11" s="16" t="n"/>
    </row>
    <row r="12" ht="30" customHeight="1">
      <c r="B12" s="14" t="inlineStr">
        <is>
          <t>Tabela 2</t>
        </is>
      </c>
      <c r="C12" s="9" t="n"/>
      <c r="D12" s="6" t="inlineStr">
        <is>
          <t>Smocze sadło</t>
        </is>
      </c>
      <c r="E12" s="6" t="inlineStr">
        <is>
          <t>Mrówcze mięso</t>
        </is>
      </c>
      <c r="F12" s="6" t="inlineStr">
        <is>
          <t>Makula-
tura</t>
        </is>
      </c>
      <c r="G12" s="6" t="inlineStr">
        <is>
          <t>Magic Stufff</t>
        </is>
      </c>
      <c r="H12" s="7" t="inlineStr">
        <is>
          <t>Woda</t>
        </is>
      </c>
    </row>
    <row r="13">
      <c r="B13" s="96" t="inlineStr">
        <is>
          <t>Zawartość [%]</t>
        </is>
      </c>
      <c r="C13" s="16" t="n"/>
      <c r="D13" s="20" t="n">
        <v>0.3</v>
      </c>
      <c r="E13" s="20" t="n">
        <v>0.2</v>
      </c>
      <c r="F13" s="20" t="n">
        <v>0.15</v>
      </c>
      <c r="G13" s="20" t="n">
        <v>0.05</v>
      </c>
      <c r="H13" s="8">
        <f>1-SUM(D13:G13)</f>
        <v>0.3</v>
      </c>
      <c r="I13" t="inlineStr">
        <is>
          <t>(Procent składnika w parówce)</t>
        </is>
      </c>
    </row>
    <row r="14">
      <c r="B14" s="96" t="inlineStr">
        <is>
          <t>Koszt jednostkowy [€/kg]</t>
        </is>
      </c>
      <c r="C14" s="16" t="n"/>
      <c r="D14" s="105" t="n">
        <v>15</v>
      </c>
      <c r="E14" s="106" t="n">
        <v>80</v>
      </c>
      <c r="F14" s="105" t="n">
        <v>6</v>
      </c>
      <c r="G14" s="105" t="n">
        <v>2.5</v>
      </c>
      <c r="H14" s="105" t="n">
        <v>0.1</v>
      </c>
      <c r="I14" t="inlineStr">
        <is>
          <t>(Ile trzeba zapłacić za 1 kg lub litr)</t>
        </is>
      </c>
    </row>
    <row r="15">
      <c r="B15" s="33" t="n"/>
      <c r="C15" s="33" t="n"/>
      <c r="D15" s="34" t="n"/>
      <c r="E15" s="34" t="n"/>
      <c r="F15" s="34" t="n"/>
      <c r="G15" s="34" t="n"/>
      <c r="H15" s="34" t="n"/>
    </row>
    <row r="16" ht="18.75" customFormat="1" customHeight="1" s="3">
      <c r="A16" s="2" t="inlineStr">
        <is>
          <t>Obliczenia</t>
        </is>
      </c>
      <c r="B16" s="2" t="n"/>
    </row>
    <row r="17" ht="15.75" customHeight="1">
      <c r="B17" s="14" t="inlineStr">
        <is>
          <t>Tabela 3</t>
        </is>
      </c>
      <c r="D17" s="100" t="inlineStr">
        <is>
          <t>Waga składników [kg]</t>
        </is>
      </c>
      <c r="E17" s="12" t="n"/>
      <c r="F17" s="12" t="n"/>
      <c r="G17" s="12" t="n"/>
      <c r="H17" s="16" t="n"/>
      <c r="I17" s="86" t="n"/>
      <c r="J17" s="86" t="n"/>
      <c r="K17" s="86" t="n"/>
      <c r="L17" s="86" t="n"/>
      <c r="M17" s="86" t="n"/>
      <c r="N17" s="86" t="n"/>
      <c r="O17" s="86" t="n"/>
      <c r="P17" s="86" t="n"/>
      <c r="Q17" s="86" t="n"/>
      <c r="R17" s="86" t="n"/>
      <c r="S17" s="86" t="n"/>
      <c r="T17" s="86" t="n"/>
      <c r="U17" s="86" t="n"/>
    </row>
    <row r="18" ht="30" customHeight="1">
      <c r="B18" s="12" t="inlineStr">
        <is>
          <t>Miesiąc</t>
        </is>
      </c>
      <c r="C18" s="6" t="inlineStr">
        <is>
          <t>Liczba parówek</t>
        </is>
      </c>
      <c r="D18" s="6" t="str">
        <f>D12</f>
        <v>Smocze sadło</v>
      </c>
      <c r="E18" s="6" t="str">
        <f>E12</f>
        <v>Mrówcze mięso</v>
      </c>
      <c r="F18" s="6" t="str">
        <f>F12</f>
        <v>Makula-tura</v>
      </c>
      <c r="G18" s="6" t="str">
        <f>G12</f>
        <v>Magic Stufff</v>
      </c>
      <c r="H18" s="7" t="str">
        <f>H12</f>
        <v>Woda</v>
      </c>
      <c r="I18" s="86" t="n"/>
      <c r="J18" s="86" t="n"/>
      <c r="K18" s="86" t="n"/>
      <c r="L18" s="86" t="n"/>
      <c r="M18" s="86" t="n"/>
      <c r="N18" s="86" t="n"/>
      <c r="O18" s="86" t="n"/>
      <c r="P18" s="86" t="n"/>
      <c r="Q18" s="86" t="n"/>
      <c r="R18" s="86" t="n"/>
      <c r="S18" s="86" t="n"/>
      <c r="T18" s="86" t="n"/>
      <c r="U18" s="86" t="n"/>
    </row>
    <row r="19">
      <c r="B19" s="41" t="inlineStr">
        <is>
          <t>Sty</t>
        </is>
      </c>
      <c r="C19" s="42" t="n">
        <v>4000</v>
      </c>
      <c r="D19" s="107">
        <f>$C19*$C$9/1000*D$13</f>
        <v>108.463513545941</v>
      </c>
      <c r="E19" s="108">
        <f>$C19*$C$9/1000*E$13</f>
        <v>72.3090090306273</v>
      </c>
      <c r="F19" s="108">
        <f>$C19*$C$9/1000*F$13</f>
        <v>54.2317567729705</v>
      </c>
      <c r="G19" s="108">
        <f>$C19*$C$9/1000*G$13</f>
        <v>18.0772522576568</v>
      </c>
      <c r="H19" s="108">
        <f>$C19*$C$9/1000*H$13</f>
        <v>108.463513545941</v>
      </c>
      <c r="I19" s="109" t="n"/>
      <c r="J19" s="86" t="n"/>
      <c r="K19" s="86" t="n"/>
      <c r="L19" s="86" t="n"/>
      <c r="M19" s="86" t="n"/>
      <c r="N19" s="86" t="n"/>
      <c r="O19" s="86" t="n"/>
      <c r="P19" s="86" t="n"/>
      <c r="Q19" s="86" t="n"/>
      <c r="R19" s="86" t="n"/>
      <c r="S19" s="86" t="n"/>
      <c r="T19" s="86" t="n"/>
      <c r="U19" s="86" t="n"/>
    </row>
    <row r="20">
      <c r="B20" s="12" t="inlineStr">
        <is>
          <t>Lut</t>
        </is>
      </c>
      <c r="C20" s="11" t="n">
        <v>4800</v>
      </c>
      <c r="D20" s="108">
        <f>$C20*$C$9/1000*D$13</f>
        <v>130.156216255129</v>
      </c>
      <c r="E20" s="108">
        <f>$C20*$C$9/1000*E$13</f>
        <v>86.7708108367528</v>
      </c>
      <c r="F20" s="108">
        <f>$C20*$C$9/1000*F$13</f>
        <v>65.0781081275646</v>
      </c>
      <c r="G20" s="108">
        <f>$C20*$C$9/1000*G$13</f>
        <v>21.6927027091882</v>
      </c>
      <c r="H20" s="108">
        <f>$C20*$C$9/1000*H$13</f>
        <v>130.156216255129</v>
      </c>
      <c r="I20" s="109" t="n"/>
      <c r="J20" s="86" t="n"/>
      <c r="K20" s="86" t="n"/>
      <c r="L20" s="86" t="n"/>
      <c r="M20" s="86" t="n"/>
      <c r="N20" s="86" t="n"/>
      <c r="O20" s="86" t="n"/>
      <c r="P20" s="86" t="n"/>
      <c r="Q20" s="86" t="n"/>
      <c r="R20" s="86" t="n"/>
      <c r="S20" s="86" t="n"/>
      <c r="T20" s="86" t="n"/>
      <c r="U20" s="86" t="n"/>
    </row>
    <row r="21">
      <c r="B21" s="41" t="inlineStr">
        <is>
          <t>Mar</t>
        </is>
      </c>
      <c r="C21" s="11" t="n">
        <v>5600</v>
      </c>
      <c r="D21" s="108">
        <f>$C21*$C$9/1000*D$13</f>
        <v>151.848918964317</v>
      </c>
      <c r="E21" s="108">
        <f>$C21*$C$9/1000*E$13</f>
        <v>101.232612642878</v>
      </c>
      <c r="F21" s="108">
        <f>$C21*$C$9/1000*F$13</f>
        <v>75.9244594821587</v>
      </c>
      <c r="G21" s="108">
        <f>$C21*$C$9/1000*G$13</f>
        <v>25.3081531607196</v>
      </c>
      <c r="H21" s="108">
        <f>$C21*$C$9/1000*H$13</f>
        <v>151.848918964317</v>
      </c>
      <c r="I21" s="109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</row>
    <row r="22">
      <c r="B22" s="12" t="inlineStr">
        <is>
          <t>Kwi</t>
        </is>
      </c>
      <c r="C22" s="11" t="n">
        <v>6400</v>
      </c>
      <c r="D22" s="108">
        <f>$C22*$C$9/1000*D$13</f>
        <v>173.541621673506</v>
      </c>
      <c r="E22" s="108">
        <f>$C22*$C$9/1000*E$13</f>
        <v>115.694414449004</v>
      </c>
      <c r="F22" s="108">
        <f>$C22*$C$9/1000*F$13</f>
        <v>86.7708108367528</v>
      </c>
      <c r="G22" s="108">
        <f>$C22*$C$9/1000*G$13</f>
        <v>28.9236036122509</v>
      </c>
      <c r="H22" s="108">
        <f>$C22*$C$9/1000*H$13</f>
        <v>173.541621673506</v>
      </c>
      <c r="I22" s="109" t="n"/>
      <c r="J22" s="86" t="n"/>
      <c r="K22" s="86" t="n"/>
      <c r="L22" s="86" t="n"/>
      <c r="M22" s="86" t="n"/>
      <c r="N22" s="86" t="n"/>
      <c r="O22" s="86" t="n"/>
      <c r="P22" s="86" t="n"/>
      <c r="Q22" s="86" t="n"/>
      <c r="R22" s="86" t="n"/>
      <c r="S22" s="86" t="n"/>
      <c r="T22" s="86" t="n"/>
      <c r="U22" s="86" t="n"/>
    </row>
    <row r="23">
      <c r="B23" s="41" t="inlineStr">
        <is>
          <t>Maj</t>
        </is>
      </c>
      <c r="C23" s="11" t="n">
        <v>7200</v>
      </c>
      <c r="D23" s="108">
        <f>$C23*$C$9/1000*D$13</f>
        <v>195.234324382694</v>
      </c>
      <c r="E23" s="108">
        <f>$C23*$C$9/1000*E$13</f>
        <v>130.156216255129</v>
      </c>
      <c r="F23" s="108">
        <f>$C23*$C$9/1000*F$13</f>
        <v>97.6171621913469</v>
      </c>
      <c r="G23" s="108">
        <f>$C23*$C$9/1000*G$13</f>
        <v>32.5390540637823</v>
      </c>
      <c r="H23" s="108">
        <f>$C23*$C$9/1000*H$13</f>
        <v>195.234324382694</v>
      </c>
      <c r="I23" s="109" t="n"/>
      <c r="J23" s="86" t="n"/>
      <c r="K23" s="86" t="n"/>
      <c r="L23" s="86" t="n"/>
      <c r="M23" s="86" t="n"/>
      <c r="N23" s="86" t="n"/>
      <c r="O23" s="86" t="n"/>
      <c r="P23" s="86" t="n"/>
      <c r="Q23" s="86" t="n"/>
      <c r="R23" s="86" t="n"/>
      <c r="S23" s="86" t="n"/>
      <c r="T23" s="86" t="n"/>
      <c r="U23" s="86" t="n"/>
    </row>
    <row r="24">
      <c r="B24" s="12" t="inlineStr">
        <is>
          <t>Cze</t>
        </is>
      </c>
      <c r="C24" s="11" t="n">
        <v>8000</v>
      </c>
      <c r="D24" s="108">
        <f>$C24*$C$9/1000*D$13</f>
        <v>216.927027091882</v>
      </c>
      <c r="E24" s="108">
        <f>$C24*$C$9/1000*E$13</f>
        <v>144.618018061255</v>
      </c>
      <c r="F24" s="108">
        <f>$C24*$C$9/1000*F$13</f>
        <v>108.463513545941</v>
      </c>
      <c r="G24" s="108">
        <f>$C24*$C$9/1000*G$13</f>
        <v>36.1545045153137</v>
      </c>
      <c r="H24" s="108">
        <f>$C24*$C$9/1000*H$13</f>
        <v>216.927027091882</v>
      </c>
      <c r="I24" s="109" t="n"/>
      <c r="J24" s="86" t="n"/>
      <c r="K24" s="86" t="n"/>
      <c r="L24" s="86" t="n"/>
      <c r="M24" s="86" t="n"/>
      <c r="N24" s="86" t="n"/>
      <c r="O24" s="86" t="n"/>
      <c r="P24" s="86" t="n"/>
      <c r="Q24" s="86" t="n"/>
      <c r="R24" s="86" t="n"/>
      <c r="S24" s="86" t="n"/>
      <c r="T24" s="86" t="n"/>
      <c r="U24" s="86" t="n"/>
    </row>
    <row r="25">
      <c r="B25" s="41" t="inlineStr">
        <is>
          <t>Lip</t>
        </is>
      </c>
      <c r="C25" s="11" t="n">
        <v>1600</v>
      </c>
      <c r="D25" s="108">
        <f>$C25*$C$9/1000*D$13</f>
        <v>43.3854054183764</v>
      </c>
      <c r="E25" s="108">
        <f>$C25*$C$9/1000*E$13</f>
        <v>28.9236036122509</v>
      </c>
      <c r="F25" s="108">
        <f>$C25*$C$9/1000*F$13</f>
        <v>21.6927027091882</v>
      </c>
      <c r="G25" s="108">
        <f>$C25*$C$9/1000*G$13</f>
        <v>7.23090090306273</v>
      </c>
      <c r="H25" s="108">
        <f>$C25*$C$9/1000*H$13</f>
        <v>43.3854054183764</v>
      </c>
      <c r="I25" s="109" t="n"/>
      <c r="J25" s="86" t="n"/>
      <c r="K25" s="86" t="n"/>
      <c r="L25" s="86" t="n"/>
      <c r="M25" s="86" t="n"/>
      <c r="N25" s="86" t="n"/>
      <c r="O25" s="86" t="n"/>
      <c r="P25" s="86" t="n"/>
      <c r="Q25" s="86" t="n"/>
      <c r="R25" s="86" t="n"/>
      <c r="S25" s="86" t="n"/>
      <c r="T25" s="86" t="n"/>
      <c r="U25" s="86" t="n"/>
    </row>
    <row r="26">
      <c r="B26" s="12" t="inlineStr">
        <is>
          <t>Sie</t>
        </is>
      </c>
      <c r="C26" s="11" t="n">
        <v>800</v>
      </c>
      <c r="D26" s="108">
        <f>$C26*$C$9/1000*D$13</f>
        <v>21.6927027091882</v>
      </c>
      <c r="E26" s="108">
        <f>$C26*$C$9/1000*E$13</f>
        <v>14.4618018061255</v>
      </c>
      <c r="F26" s="108">
        <f>$C26*$C$9/1000*F$13</f>
        <v>10.8463513545941</v>
      </c>
      <c r="G26" s="108">
        <f>$C26*$C$9/1000*G$13</f>
        <v>3.61545045153137</v>
      </c>
      <c r="H26" s="108">
        <f>$C26*$C$9/1000*H$13</f>
        <v>21.6927027091882</v>
      </c>
      <c r="I26" s="109" t="n"/>
      <c r="J26" s="86" t="n"/>
      <c r="K26" s="86" t="n"/>
      <c r="L26" s="86" t="n"/>
      <c r="M26" s="86" t="n"/>
      <c r="N26" s="86" t="n"/>
      <c r="O26" s="86" t="n"/>
      <c r="P26" s="86" t="n"/>
      <c r="Q26" s="86" t="n"/>
      <c r="R26" s="86" t="n"/>
      <c r="S26" s="86" t="n"/>
      <c r="T26" s="86" t="n"/>
      <c r="U26" s="86" t="n"/>
    </row>
    <row r="27">
      <c r="B27" s="41" t="inlineStr">
        <is>
          <t>Wrz</t>
        </is>
      </c>
      <c r="C27" s="11" t="n">
        <v>4000</v>
      </c>
      <c r="D27" s="108">
        <f>$C27*$C$9/1000*D$13</f>
        <v>108.463513545941</v>
      </c>
      <c r="E27" s="108">
        <f>$C27*$C$9/1000*E$13</f>
        <v>72.3090090306273</v>
      </c>
      <c r="F27" s="108">
        <f>$C27*$C$9/1000*F$13</f>
        <v>54.2317567729705</v>
      </c>
      <c r="G27" s="108">
        <f>$C27*$C$9/1000*G$13</f>
        <v>18.0772522576568</v>
      </c>
      <c r="H27" s="108">
        <f>$C27*$C$9/1000*H$13</f>
        <v>108.463513545941</v>
      </c>
      <c r="I27" s="109" t="n"/>
      <c r="J27" s="86" t="n"/>
      <c r="K27" s="86" t="n"/>
      <c r="L27" s="86" t="n"/>
      <c r="M27" s="86" t="n"/>
      <c r="N27" s="86" t="n"/>
      <c r="O27" s="86" t="n"/>
      <c r="P27" s="86" t="n"/>
      <c r="Q27" s="86" t="n"/>
      <c r="R27" s="86" t="n"/>
      <c r="S27" s="86" t="n"/>
      <c r="T27" s="86" t="n"/>
      <c r="U27" s="86" t="n"/>
    </row>
    <row r="28">
      <c r="B28" s="12" t="inlineStr">
        <is>
          <t>Paź</t>
        </is>
      </c>
      <c r="C28" s="11" t="n">
        <v>4800</v>
      </c>
      <c r="D28" s="108">
        <f>$C28*$C$9/1000*D$13</f>
        <v>130.156216255129</v>
      </c>
      <c r="E28" s="108">
        <f>$C28*$C$9/1000*E$13</f>
        <v>86.7708108367528</v>
      </c>
      <c r="F28" s="108">
        <f>$C28*$C$9/1000*F$13</f>
        <v>65.0781081275646</v>
      </c>
      <c r="G28" s="108">
        <f>$C28*$C$9/1000*G$13</f>
        <v>21.6927027091882</v>
      </c>
      <c r="H28" s="108">
        <f>$C28*$C$9/1000*H$13</f>
        <v>130.156216255129</v>
      </c>
      <c r="I28" s="109" t="n"/>
      <c r="J28" s="86" t="n"/>
      <c r="K28" s="86" t="n"/>
      <c r="L28" s="86" t="n"/>
      <c r="M28" s="86" t="n"/>
      <c r="N28" s="86" t="n"/>
      <c r="O28" s="86" t="n"/>
      <c r="P28" s="86" t="n"/>
      <c r="Q28" s="86" t="n"/>
      <c r="R28" s="86" t="n"/>
      <c r="S28" s="86" t="n"/>
      <c r="T28" s="86" t="n"/>
      <c r="U28" s="86" t="n"/>
    </row>
    <row r="29">
      <c r="B29" s="41" t="inlineStr">
        <is>
          <t>Lis</t>
        </is>
      </c>
      <c r="C29" s="11" t="n">
        <v>5600</v>
      </c>
      <c r="D29" s="108">
        <f>$C29*$C$9/1000*D$13</f>
        <v>151.848918964317</v>
      </c>
      <c r="E29" s="108">
        <f>$C29*$C$9/1000*E$13</f>
        <v>101.232612642878</v>
      </c>
      <c r="F29" s="108">
        <f>$C29*$C$9/1000*F$13</f>
        <v>75.9244594821587</v>
      </c>
      <c r="G29" s="108">
        <f>$C29*$C$9/1000*G$13</f>
        <v>25.3081531607196</v>
      </c>
      <c r="H29" s="108">
        <f>$C29*$C$9/1000*H$13</f>
        <v>151.848918964317</v>
      </c>
      <c r="I29" s="109" t="n"/>
      <c r="J29" s="86" t="n"/>
      <c r="K29" s="86" t="n"/>
      <c r="L29" s="86" t="n"/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</row>
    <row r="30">
      <c r="B30" s="12" t="inlineStr">
        <is>
          <t>Gru</t>
        </is>
      </c>
      <c r="C30" s="11" t="n">
        <v>5200</v>
      </c>
      <c r="D30" s="108">
        <f>$C30*$C$9/1000*D$13</f>
        <v>141.002567609723</v>
      </c>
      <c r="E30" s="108">
        <f>$C30*$C$9/1000*E$13</f>
        <v>94.0017117398156</v>
      </c>
      <c r="F30" s="108">
        <f>$C30*$C$9/1000*F$13</f>
        <v>70.5012838048617</v>
      </c>
      <c r="G30" s="108">
        <f>$C30*$C$9/1000*G$13</f>
        <v>23.5004279349539</v>
      </c>
      <c r="H30" s="108">
        <f>$C30*$C$9/1000*H$13</f>
        <v>141.002567609723</v>
      </c>
      <c r="I30" s="109" t="n"/>
      <c r="J30" s="86" t="n"/>
      <c r="K30" s="86" t="n"/>
      <c r="L30" s="86" t="n"/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</row>
    <row r="31">
      <c r="B31" s="1" t="inlineStr">
        <is>
          <t>Razem</t>
        </is>
      </c>
      <c r="C31" s="44">
        <f>SUM(C19:C30)</f>
        <v>58000</v>
      </c>
      <c r="D31" s="45">
        <f>SUM(D19:D30)</f>
        <v>1572.72094641614</v>
      </c>
      <c r="E31" s="45">
        <f>SUM(E19:E30)</f>
        <v>1048.4806309441</v>
      </c>
      <c r="F31" s="45">
        <f>SUM(F19:F30)</f>
        <v>786.360473208072</v>
      </c>
      <c r="G31" s="45">
        <f>SUM(G19:G30)</f>
        <v>262.120157736024</v>
      </c>
      <c r="H31" s="45">
        <f>SUM(H19:H30)</f>
        <v>1572.72094641614</v>
      </c>
      <c r="I31" s="86" t="n"/>
      <c r="J31" s="86" t="n"/>
      <c r="K31" s="86" t="n"/>
      <c r="L31" s="86" t="n"/>
      <c r="M31" s="86" t="n"/>
      <c r="N31" s="86" t="n"/>
      <c r="O31" s="86" t="n"/>
      <c r="P31" s="86" t="n"/>
      <c r="Q31" s="86" t="n"/>
      <c r="R31" s="86" t="n"/>
      <c r="S31" s="86" t="n"/>
      <c r="T31" s="86" t="n"/>
      <c r="U31" s="86" t="n"/>
    </row>
    <row r="32">
      <c r="B32" s="1" t="n"/>
      <c r="C32" s="1" t="inlineStr">
        <is>
          <t>Jednostki</t>
        </is>
      </c>
      <c r="D32" s="15" t="inlineStr">
        <is>
          <t>Kilogramy składników</t>
        </is>
      </c>
      <c r="I32" s="86" t="n"/>
      <c r="J32" s="86" t="n"/>
      <c r="K32" s="86" t="n"/>
      <c r="L32" s="86" t="n"/>
      <c r="M32" s="86" t="n"/>
      <c r="N32" s="86" t="n"/>
      <c r="O32" s="86" t="n"/>
      <c r="P32" s="86" t="n"/>
      <c r="Q32" s="86" t="n"/>
      <c r="R32" s="86" t="n"/>
      <c r="S32" s="86" t="n"/>
      <c r="T32" s="86" t="n"/>
      <c r="U32" s="86" t="n"/>
    </row>
    <row r="33">
      <c r="B33" s="1" t="n"/>
    </row>
    <row r="34" ht="15.75" customHeight="1">
      <c r="B34" s="14" t="inlineStr">
        <is>
          <t>Tabela 4</t>
        </is>
      </c>
      <c r="D34" s="100" t="inlineStr">
        <is>
          <t>Koszt składników [€]</t>
        </is>
      </c>
      <c r="E34" s="12" t="n"/>
      <c r="F34" s="12" t="n"/>
      <c r="G34" s="12" t="n"/>
      <c r="H34" s="16" t="n"/>
    </row>
    <row r="35" ht="30" customHeight="1">
      <c r="B35" s="88" t="str">
        <f>B18</f>
        <v>Miesiąc</v>
      </c>
      <c r="C35" s="16" t="n"/>
      <c r="D35" s="6" t="str">
        <f>D18</f>
        <v>Smocze sadło</v>
      </c>
      <c r="E35" s="6" t="str">
        <f>E18</f>
        <v>Mrówcze mięso</v>
      </c>
      <c r="F35" s="6" t="str">
        <f>F18</f>
        <v>Makula-tura</v>
      </c>
      <c r="G35" s="6" t="str">
        <f>G18</f>
        <v>Magic Stufff</v>
      </c>
      <c r="H35" s="53" t="str">
        <f>H18</f>
        <v>Woda</v>
      </c>
      <c r="I35" s="54" t="inlineStr">
        <is>
          <t>Razem</t>
        </is>
      </c>
    </row>
    <row r="36">
      <c r="B36" s="41" t="str">
        <f>B19</f>
        <v>Sty</v>
      </c>
      <c r="C36" s="46" t="n"/>
      <c r="D36" s="61">
        <f>D19*D$14</f>
        <v>1626.95270318912</v>
      </c>
      <c r="E36" s="57">
        <f>E19*E$14</f>
        <v>5784.72072245019</v>
      </c>
      <c r="F36" s="57">
        <f>F19*F$14</f>
        <v>325.390540637823</v>
      </c>
      <c r="G36" s="57">
        <f>G19*G$14</f>
        <v>45.1931306441421</v>
      </c>
      <c r="H36" s="58">
        <f>H19*H$14</f>
        <v>10.8463513545941</v>
      </c>
      <c r="I36" s="47">
        <f>SUM(D36:H36)</f>
        <v>7793.10344827586</v>
      </c>
    </row>
    <row r="37">
      <c r="B37" s="41" t="str">
        <f>B20</f>
        <v>Lut</v>
      </c>
      <c r="C37" s="17" t="n"/>
      <c r="D37" s="59">
        <f>D20*D$14</f>
        <v>1952.34324382694</v>
      </c>
      <c r="E37" s="59">
        <f>E20*E$14</f>
        <v>6941.66486694023</v>
      </c>
      <c r="F37" s="59">
        <f>F20*F$14</f>
        <v>390.468648765388</v>
      </c>
      <c r="G37" s="59">
        <f>G20*G$14</f>
        <v>54.2317567729705</v>
      </c>
      <c r="H37" s="60">
        <f>H20*H$14</f>
        <v>13.0156216255129</v>
      </c>
      <c r="I37" s="19">
        <f>SUM(D37:H37)</f>
        <v>9351.72413793103</v>
      </c>
    </row>
    <row r="38">
      <c r="B38" s="41" t="str">
        <f>B21</f>
        <v>Mar</v>
      </c>
      <c r="C38" s="17" t="n"/>
      <c r="D38" s="59">
        <f>D21*D$14</f>
        <v>2277.73378446476</v>
      </c>
      <c r="E38" s="59">
        <f>E21*E$14</f>
        <v>8098.60901143026</v>
      </c>
      <c r="F38" s="59">
        <f>F21*F$14</f>
        <v>455.546756892952</v>
      </c>
      <c r="G38" s="59">
        <f>G21*G$14</f>
        <v>63.2703829017989</v>
      </c>
      <c r="H38" s="60">
        <f>H21*H$14</f>
        <v>15.1848918964317</v>
      </c>
      <c r="I38" s="19">
        <f>SUM(D38:H38)</f>
        <v>10910.3448275862</v>
      </c>
    </row>
    <row r="39">
      <c r="B39" s="41" t="str">
        <f>B22</f>
        <v>Kwi</v>
      </c>
      <c r="C39" s="17" t="n"/>
      <c r="D39" s="59">
        <f>D22*D$14</f>
        <v>2603.12432510258</v>
      </c>
      <c r="E39" s="59">
        <f>E22*E$14</f>
        <v>9255.5531559203</v>
      </c>
      <c r="F39" s="59">
        <f>F22*F$14</f>
        <v>520.624865020517</v>
      </c>
      <c r="G39" s="59">
        <f>G22*G$14</f>
        <v>72.3090090306273</v>
      </c>
      <c r="H39" s="60">
        <f>H22*H$14</f>
        <v>17.3541621673506</v>
      </c>
      <c r="I39" s="19">
        <f>SUM(D39:H39)</f>
        <v>12468.9655172414</v>
      </c>
    </row>
    <row r="40">
      <c r="B40" s="41" t="str">
        <f>B23</f>
        <v>Maj</v>
      </c>
      <c r="C40" s="17" t="n"/>
      <c r="D40" s="59">
        <f>D23*D$14</f>
        <v>2928.51486574041</v>
      </c>
      <c r="E40" s="59">
        <f>E23*E$14</f>
        <v>10412.4973004103</v>
      </c>
      <c r="F40" s="59">
        <f>F23*F$14</f>
        <v>585.702973148082</v>
      </c>
      <c r="G40" s="59">
        <f>G23*G$14</f>
        <v>81.3476351594558</v>
      </c>
      <c r="H40" s="60">
        <f>H23*H$14</f>
        <v>19.5234324382694</v>
      </c>
      <c r="I40" s="19">
        <f>SUM(D40:H40)</f>
        <v>14027.5862068966</v>
      </c>
    </row>
    <row r="41">
      <c r="B41" s="41" t="str">
        <f>B24</f>
        <v>Cze</v>
      </c>
      <c r="C41" s="17" t="n"/>
      <c r="D41" s="59">
        <f>D24*D$14</f>
        <v>3253.90540637823</v>
      </c>
      <c r="E41" s="59">
        <f>E24*E$14</f>
        <v>11569.4414449004</v>
      </c>
      <c r="F41" s="59">
        <f>F24*F$14</f>
        <v>650.781081275646</v>
      </c>
      <c r="G41" s="59">
        <f>G24*G$14</f>
        <v>90.3862612882842</v>
      </c>
      <c r="H41" s="60">
        <f>H24*H$14</f>
        <v>21.6927027091882</v>
      </c>
      <c r="I41" s="19">
        <f>SUM(D41:H41)</f>
        <v>15586.2068965517</v>
      </c>
    </row>
    <row r="42">
      <c r="B42" s="41" t="str">
        <f>B25</f>
        <v>Lip</v>
      </c>
      <c r="C42" s="17" t="n"/>
      <c r="D42" s="59">
        <f>D25*D$14</f>
        <v>650.781081275646</v>
      </c>
      <c r="E42" s="59">
        <f>E25*E$14</f>
        <v>2313.88828898008</v>
      </c>
      <c r="F42" s="59">
        <f>F25*F$14</f>
        <v>130.156216255129</v>
      </c>
      <c r="G42" s="59">
        <f>G25*G$14</f>
        <v>18.0772522576568</v>
      </c>
      <c r="H42" s="60">
        <f>H25*H$14</f>
        <v>4.33854054183764</v>
      </c>
      <c r="I42" s="19">
        <f>SUM(D42:H42)</f>
        <v>3117.24137931034</v>
      </c>
    </row>
    <row r="43">
      <c r="B43" s="41" t="str">
        <f>B26</f>
        <v>Sie</v>
      </c>
      <c r="C43" s="17" t="n"/>
      <c r="D43" s="59">
        <f>D26*D$14</f>
        <v>325.390540637823</v>
      </c>
      <c r="E43" s="59">
        <f>E26*E$14</f>
        <v>1156.94414449004</v>
      </c>
      <c r="F43" s="59">
        <f>F26*F$14</f>
        <v>65.0781081275646</v>
      </c>
      <c r="G43" s="59">
        <f>G26*G$14</f>
        <v>9.03862612882842</v>
      </c>
      <c r="H43" s="60">
        <f>H26*H$14</f>
        <v>2.16927027091882</v>
      </c>
      <c r="I43" s="19">
        <f>SUM(D43:H43)</f>
        <v>1558.62068965517</v>
      </c>
    </row>
    <row r="44">
      <c r="B44" s="41" t="str">
        <f>B27</f>
        <v>Wrz</v>
      </c>
      <c r="C44" s="17" t="n"/>
      <c r="D44" s="59">
        <f>D27*D$14</f>
        <v>1626.95270318912</v>
      </c>
      <c r="E44" s="59">
        <f>E27*E$14</f>
        <v>5784.72072245019</v>
      </c>
      <c r="F44" s="59">
        <f>F27*F$14</f>
        <v>325.390540637823</v>
      </c>
      <c r="G44" s="59">
        <f>G27*G$14</f>
        <v>45.1931306441421</v>
      </c>
      <c r="H44" s="60">
        <f>H27*H$14</f>
        <v>10.8463513545941</v>
      </c>
      <c r="I44" s="19">
        <f>SUM(D44:H44)</f>
        <v>7793.10344827586</v>
      </c>
    </row>
    <row r="45">
      <c r="B45" s="41" t="str">
        <f>B28</f>
        <v>Paź</v>
      </c>
      <c r="C45" s="17" t="n"/>
      <c r="D45" s="59">
        <f>D28*D$14</f>
        <v>1952.34324382694</v>
      </c>
      <c r="E45" s="59">
        <f>E28*E$14</f>
        <v>6941.66486694023</v>
      </c>
      <c r="F45" s="59">
        <f>F28*F$14</f>
        <v>390.468648765388</v>
      </c>
      <c r="G45" s="59">
        <f>G28*G$14</f>
        <v>54.2317567729705</v>
      </c>
      <c r="H45" s="60">
        <f>H28*H$14</f>
        <v>13.0156216255129</v>
      </c>
      <c r="I45" s="19">
        <f>SUM(D45:H45)</f>
        <v>9351.72413793103</v>
      </c>
    </row>
    <row r="46">
      <c r="B46" s="41" t="str">
        <f>B29</f>
        <v>Lis</v>
      </c>
      <c r="C46" s="17" t="n"/>
      <c r="D46" s="59">
        <f>D29*D$14</f>
        <v>2277.73378446476</v>
      </c>
      <c r="E46" s="59">
        <f>E29*E$14</f>
        <v>8098.60901143026</v>
      </c>
      <c r="F46" s="59">
        <f>F29*F$14</f>
        <v>455.546756892952</v>
      </c>
      <c r="G46" s="59">
        <f>G29*G$14</f>
        <v>63.2703829017989</v>
      </c>
      <c r="H46" s="60">
        <f>H29*H$14</f>
        <v>15.1848918964317</v>
      </c>
      <c r="I46" s="19">
        <f>SUM(D46:H46)</f>
        <v>10910.3448275862</v>
      </c>
    </row>
    <row r="47">
      <c r="B47" s="41" t="str">
        <f>B30</f>
        <v>Gru</v>
      </c>
      <c r="C47" s="17" t="n"/>
      <c r="D47" s="59">
        <f>D30*D$14</f>
        <v>2115.03851414585</v>
      </c>
      <c r="E47" s="59">
        <f>E30*E$14</f>
        <v>7520.13693918524</v>
      </c>
      <c r="F47" s="59">
        <f>F30*F$14</f>
        <v>423.00770282917</v>
      </c>
      <c r="G47" s="59">
        <f>G30*G$14</f>
        <v>58.7510698373847</v>
      </c>
      <c r="H47" s="60">
        <f>H30*H$14</f>
        <v>14.1002567609723</v>
      </c>
      <c r="I47" s="19">
        <f>SUM(D47:H47)</f>
        <v>10131.0344827586</v>
      </c>
    </row>
    <row r="48" ht="15.75" customHeight="1" thickBot="1">
      <c r="B48" s="48" t="inlineStr">
        <is>
          <t>Razem € rocznie</t>
        </is>
      </c>
      <c r="C48" s="49" t="n"/>
      <c r="D48" s="50">
        <f>SUM(D36:D47)</f>
        <v>23590.8141962422</v>
      </c>
      <c r="E48" s="50">
        <f>SUM(E36:E47)</f>
        <v>83878.4504755277</v>
      </c>
      <c r="F48" s="50">
        <f>SUM(F36:F47)</f>
        <v>4718.16283924843</v>
      </c>
      <c r="G48" s="51">
        <f>SUM(G36:G47)</f>
        <v>655.30039434006</v>
      </c>
      <c r="H48" s="51">
        <f>SUM(H36:H47)</f>
        <v>157.272094641614</v>
      </c>
      <c r="I48" s="52">
        <f>SUM(I36:I47)</f>
        <v>113000</v>
      </c>
      <c r="J48" s="18" t="inlineStr">
        <is>
          <t>Sumaryczny roczny koszt wszystkich składników</t>
        </is>
      </c>
    </row>
    <row r="50" ht="15.75" customHeight="1">
      <c r="B50" s="14" t="inlineStr">
        <is>
          <t>Tabela 5</t>
        </is>
      </c>
      <c r="C50" s="13" t="inlineStr">
        <is>
          <t>Najwyższe koszty/m-c</t>
        </is>
      </c>
      <c r="F50" s="14" t="inlineStr">
        <is>
          <t>Tabela 6</t>
        </is>
      </c>
      <c r="G50" s="13" t="inlineStr">
        <is>
          <t>Rachunek wyników</t>
        </is>
      </c>
    </row>
    <row r="51">
      <c r="A51" s="1" t="inlineStr">
        <is>
          <t>a</t>
        </is>
      </c>
      <c r="B51" s="21" t="inlineStr">
        <is>
          <t>Miesięczny koszt max:</t>
        </is>
      </c>
      <c r="C51" s="12" t="n"/>
      <c r="D51" s="62">
        <f>MAX(I36:I47)</f>
        <v>15586.2068965517</v>
      </c>
      <c r="F51" s="78" t="n"/>
      <c r="G51" s="79" t="n"/>
      <c r="H51" s="80" t="inlineStr">
        <is>
          <t>Wpływy ze sprzedaży</t>
        </is>
      </c>
      <c r="I51" s="81">
        <f>C31*C6</f>
        <v>174000</v>
      </c>
      <c r="J51" t="inlineStr">
        <is>
          <t>(sumaryczna ilość parówek w roku * cena parówki)</t>
        </is>
      </c>
    </row>
    <row r="52">
      <c r="A52" s="1" t="inlineStr">
        <is>
          <t>b</t>
        </is>
      </c>
      <c r="B52" s="21" t="inlineStr">
        <is>
          <t>Miesiąc o max koszcie:</t>
        </is>
      </c>
      <c r="C52" s="12" t="n"/>
      <c r="D52" s="63" t="str">
        <f>INDEX(B36:B47,MATCH(D51,I36:I47,0))</f>
        <v>Cze</v>
      </c>
      <c r="F52" s="69" t="n"/>
      <c r="G52" s="70" t="n"/>
      <c r="H52" s="71" t="inlineStr">
        <is>
          <t>Koszty zmienne</t>
        </is>
      </c>
      <c r="I52" s="72">
        <f>I48</f>
        <v>113000</v>
      </c>
      <c r="J52" t="inlineStr">
        <is>
          <t>(składniki)</t>
        </is>
      </c>
    </row>
    <row r="53">
      <c r="A53" s="1" t="inlineStr">
        <is>
          <t>c</t>
        </is>
      </c>
      <c r="B53" s="21" t="inlineStr">
        <is>
          <t>Ile parówek tego miesiąca:</t>
        </is>
      </c>
      <c r="C53" s="12" t="n"/>
      <c r="D53" s="63">
        <f>VLOOKUP(D52,B19:C30,2,0)</f>
        <v>8000</v>
      </c>
      <c r="F53" s="73" t="n"/>
      <c r="G53" s="65" t="n"/>
      <c r="H53" s="66" t="inlineStr">
        <is>
          <t>Koszty stałe</t>
        </is>
      </c>
      <c r="I53" s="74">
        <f>12*C8</f>
        <v>36000</v>
      </c>
      <c r="J53" t="inlineStr">
        <is>
          <t>(miesięczne stałe * 12)</t>
        </is>
      </c>
    </row>
    <row r="54">
      <c r="F54" s="75" t="n"/>
      <c r="G54" s="76" t="n"/>
      <c r="H54" s="76" t="inlineStr">
        <is>
          <t>Koszty całkowite</t>
        </is>
      </c>
      <c r="I54" s="77">
        <f>I48+I53</f>
        <v>149000</v>
      </c>
      <c r="J54" t="inlineStr">
        <is>
          <t>(koszty stałe +składników)</t>
        </is>
      </c>
    </row>
    <row r="55">
      <c r="F55" s="64" t="n"/>
      <c r="G55" s="65" t="n"/>
      <c r="H55" s="66" t="inlineStr">
        <is>
          <t>Dochód</t>
        </is>
      </c>
      <c r="I55" s="67">
        <f>I51-I54</f>
        <v>25000</v>
      </c>
      <c r="J55" t="inlineStr">
        <is>
          <t>(Przychód ze sprzedaży minus Koszty całkowite)</t>
        </is>
      </c>
    </row>
    <row r="56" ht="15.75" customHeight="1" thickBot="1">
      <c r="F56" s="64" t="n"/>
      <c r="G56" s="65" t="n"/>
      <c r="H56" s="66" t="inlineStr">
        <is>
          <t>Spłata kredytu bankowego</t>
        </is>
      </c>
      <c r="I56" s="68" t="n">
        <v>15000</v>
      </c>
      <c r="J56" t="inlineStr">
        <is>
          <t>(pieniądze jakie musimy spłacić w tym roku, obliczone gdzie indziej)</t>
        </is>
      </c>
    </row>
    <row r="57" ht="19.5" customHeight="1" thickBot="1">
      <c r="F57" s="82" t="n"/>
      <c r="G57" s="83" t="n"/>
      <c r="H57" s="84" t="inlineStr">
        <is>
          <t>ZYSK</t>
        </is>
      </c>
      <c r="I57" s="35">
        <f>I55-I56</f>
        <v>10000</v>
      </c>
      <c r="J57" t="inlineStr">
        <is>
          <t>(Wynik minus kredyt)</t>
        </is>
      </c>
    </row>
    <row r="59" ht="18.75" customFormat="1" customHeight="1" s="3">
      <c r="A59" s="2" t="inlineStr">
        <is>
          <t>Analiza</t>
        </is>
      </c>
      <c r="B59" s="2" t="n"/>
    </row>
    <row r="60" ht="15.75" customHeight="1">
      <c r="B60" s="14" t="inlineStr">
        <is>
          <t>Tabela 7</t>
        </is>
      </c>
      <c r="C60" s="13" t="inlineStr">
        <is>
          <t>Waga-&gt;Zysk</t>
        </is>
      </c>
      <c r="E60" s="14" t="inlineStr">
        <is>
          <t>Tabela 8</t>
        </is>
      </c>
      <c r="F60" s="13" t="inlineStr">
        <is>
          <t>Cena parówki i Cena mrówczego mięsa -&gt; Zysk</t>
        </is>
      </c>
    </row>
    <row r="61">
      <c r="B61" s="89" t="inlineStr">
        <is>
          <t>waga</t>
        </is>
      </c>
      <c r="C61" s="90">
        <f>I57</f>
        <v>10000</v>
      </c>
      <c r="E61" s="22">
        <f>I57</f>
        <v>10000</v>
      </c>
      <c r="F61" s="23" t="n">
        <v>70</v>
      </c>
      <c r="G61" s="23">
        <f>F61+5</f>
        <v>75</v>
      </c>
      <c r="H61" s="24">
        <f>G61+5</f>
        <v>80</v>
      </c>
      <c r="I61" s="23">
        <f>H61+5</f>
        <v>85</v>
      </c>
      <c r="J61" s="23">
        <f>I61+5</f>
        <v>90</v>
      </c>
      <c r="K61" s="23">
        <f>J61+5</f>
        <v>95</v>
      </c>
      <c r="L61" s="23">
        <f>K61+5</f>
        <v>100</v>
      </c>
      <c r="M61" s="23">
        <f>L61+5</f>
        <v>105</v>
      </c>
      <c r="N61" s="25">
        <f>M61+5</f>
        <v>110</v>
      </c>
    </row>
    <row r="62">
      <c r="B62" s="91" t="n">
        <v>85</v>
      </c>
      <c r="C62" s="92">
        <f t="dataTable" ref="C62:C82" dt2D="0" dtr="0" r1="$C$9" ca="1"/>
        <v>16733.85</v>
      </c>
      <c r="E62" s="26" t="n">
        <v>2.5</v>
      </c>
      <c r="F62" s="27">
        <f t="dataTable" ref="F62:N72" dt2D="1" dtr="1" r1="$E$14" r2="$C$6" ca="1"/>
        <v>-8515.19369055904</v>
      </c>
      <c r="G62" s="27" t="n">
        <v>-13757.59684528</v>
      </c>
      <c r="H62" s="27" t="n">
        <v>-19000</v>
      </c>
      <c r="I62" s="27" t="n">
        <v>-24242.40315472</v>
      </c>
      <c r="J62" s="27" t="n">
        <v>-29484.80630944</v>
      </c>
      <c r="K62" s="27" t="n">
        <v>-34727.20946416</v>
      </c>
      <c r="L62" s="27" t="n">
        <v>-39969.61261888</v>
      </c>
      <c r="M62" s="27" t="n">
        <v>-45212.0157736</v>
      </c>
      <c r="N62" s="28" t="n">
        <v>-50454.41892832</v>
      </c>
    </row>
    <row r="63">
      <c r="B63" s="91">
        <f>B62+1</f>
        <v>86</v>
      </c>
      <c r="C63" s="92" t="n">
        <v>15483.66</v>
      </c>
      <c r="E63" s="26">
        <f>E62+0.1</f>
        <v>2.6</v>
      </c>
      <c r="F63" s="27" t="n">
        <v>-2715.19369056</v>
      </c>
      <c r="G63" s="27" t="n">
        <v>-7957.59684528</v>
      </c>
      <c r="H63" s="27" t="n">
        <v>-13200</v>
      </c>
      <c r="I63" s="27" t="n">
        <v>-18442.40315472</v>
      </c>
      <c r="J63" s="27" t="n">
        <v>-23684.80630944</v>
      </c>
      <c r="K63" s="27" t="n">
        <v>-28927.20946416</v>
      </c>
      <c r="L63" s="27" t="n">
        <v>-34169.61261888</v>
      </c>
      <c r="M63" s="27" t="n">
        <v>-39412.0157736</v>
      </c>
      <c r="N63" s="28" t="n">
        <v>-44654.41892832</v>
      </c>
    </row>
    <row r="64">
      <c r="B64" s="91">
        <f>B63+1</f>
        <v>87</v>
      </c>
      <c r="C64" s="92" t="n">
        <v>14233.47</v>
      </c>
      <c r="E64" s="26">
        <f>E63+0.1</f>
        <v>2.7</v>
      </c>
      <c r="F64" s="27" t="n">
        <v>3084.80630944</v>
      </c>
      <c r="G64" s="27" t="n">
        <v>-2157.59684528</v>
      </c>
      <c r="H64" s="27" t="n">
        <v>-7400</v>
      </c>
      <c r="I64" s="27" t="n">
        <v>-12642.40315472</v>
      </c>
      <c r="J64" s="27" t="n">
        <v>-17884.80630944</v>
      </c>
      <c r="K64" s="27" t="n">
        <v>-23127.20946416</v>
      </c>
      <c r="L64" s="27" t="n">
        <v>-28369.61261888</v>
      </c>
      <c r="M64" s="27" t="n">
        <v>-33612.0157736</v>
      </c>
      <c r="N64" s="28" t="n">
        <v>-38854.41892832</v>
      </c>
    </row>
    <row r="65">
      <c r="B65" s="91">
        <f>B64+1</f>
        <v>88</v>
      </c>
      <c r="C65" s="92" t="n">
        <v>12983.28</v>
      </c>
      <c r="E65" s="26">
        <f>E64+0.1</f>
        <v>2.8</v>
      </c>
      <c r="F65" s="27" t="n">
        <v>8884.80630944</v>
      </c>
      <c r="G65" s="27" t="n">
        <v>3642.40315472</v>
      </c>
      <c r="H65" s="27" t="n">
        <v>-1600</v>
      </c>
      <c r="I65" s="27" t="n">
        <v>-6842.40315472</v>
      </c>
      <c r="J65" s="27" t="n">
        <v>-12084.80630944</v>
      </c>
      <c r="K65" s="27" t="n">
        <v>-17327.20946416</v>
      </c>
      <c r="L65" s="27" t="n">
        <v>-22569.61261888</v>
      </c>
      <c r="M65" s="27" t="n">
        <v>-27812.0157736</v>
      </c>
      <c r="N65" s="28" t="n">
        <v>-33054.41892832</v>
      </c>
    </row>
    <row r="66">
      <c r="B66" s="91">
        <f>B65+1</f>
        <v>89</v>
      </c>
      <c r="C66" s="92" t="n">
        <v>11733.09</v>
      </c>
      <c r="E66" s="26">
        <f>E65+0.1</f>
        <v>2.9</v>
      </c>
      <c r="F66" s="27" t="n">
        <v>14684.80630944</v>
      </c>
      <c r="G66" s="27" t="n">
        <v>9442.403154719999</v>
      </c>
      <c r="H66" s="27" t="n">
        <v>4200</v>
      </c>
      <c r="I66" s="27" t="n">
        <v>-1042.40315472</v>
      </c>
      <c r="J66" s="27" t="n">
        <v>-6284.80630944</v>
      </c>
      <c r="K66" s="27" t="n">
        <v>-11527.20946416</v>
      </c>
      <c r="L66" s="27" t="n">
        <v>-16769.61261888</v>
      </c>
      <c r="M66" s="27" t="n">
        <v>-22012.0157736</v>
      </c>
      <c r="N66" s="28" t="n">
        <v>-27254.41892832</v>
      </c>
    </row>
    <row r="67">
      <c r="B67" s="93">
        <f>B66+1</f>
        <v>90</v>
      </c>
      <c r="C67" s="92" t="n">
        <v>10482.9</v>
      </c>
      <c r="E67" s="29">
        <f>E66+0.1</f>
        <v>3</v>
      </c>
      <c r="F67" s="27" t="n">
        <v>20484.80630944</v>
      </c>
      <c r="G67" s="27" t="n">
        <v>15242.40315472</v>
      </c>
      <c r="H67" s="27" t="n">
        <v>10000</v>
      </c>
      <c r="I67" s="27" t="n">
        <v>4757.59684528</v>
      </c>
      <c r="J67" s="27" t="n">
        <v>-484.80630944</v>
      </c>
      <c r="K67" s="27" t="n">
        <v>-5727.20946416</v>
      </c>
      <c r="L67" s="27" t="n">
        <v>-10969.61261888</v>
      </c>
      <c r="M67" s="27" t="n">
        <v>-16212.0157736</v>
      </c>
      <c r="N67" s="28" t="n">
        <v>-21454.41892832</v>
      </c>
    </row>
    <row r="68">
      <c r="B68" s="91">
        <f>B67+1</f>
        <v>91</v>
      </c>
      <c r="C68" s="92" t="n">
        <v>9232.709999999999</v>
      </c>
      <c r="E68" s="26">
        <f>E67+0.1</f>
        <v>3.1</v>
      </c>
      <c r="F68" s="27" t="n">
        <v>26284.80630944</v>
      </c>
      <c r="G68" s="27" t="n">
        <v>21042.40315472</v>
      </c>
      <c r="H68" s="27" t="n">
        <v>15800</v>
      </c>
      <c r="I68" s="27" t="n">
        <v>10557.59684528</v>
      </c>
      <c r="J68" s="27" t="n">
        <v>5315.19369056</v>
      </c>
      <c r="K68" s="27" t="n">
        <v>72.79053584</v>
      </c>
      <c r="L68" s="27" t="n">
        <v>-5169.61261888</v>
      </c>
      <c r="M68" s="27" t="n">
        <v>-10412.0157736</v>
      </c>
      <c r="N68" s="28" t="n">
        <v>-15654.41892832</v>
      </c>
    </row>
    <row r="69">
      <c r="B69" s="91">
        <f>B68+1</f>
        <v>92</v>
      </c>
      <c r="C69" s="92" t="n">
        <v>7982.52</v>
      </c>
      <c r="E69" s="26">
        <f>E68+0.1</f>
        <v>3.2</v>
      </c>
      <c r="F69" s="27" t="n">
        <v>32084.80630944</v>
      </c>
      <c r="G69" s="27" t="n">
        <v>26842.40315472</v>
      </c>
      <c r="H69" s="27" t="n">
        <v>21600</v>
      </c>
      <c r="I69" s="27" t="n">
        <v>16357.59684528</v>
      </c>
      <c r="J69" s="27" t="n">
        <v>11115.19369056</v>
      </c>
      <c r="K69" s="27" t="n">
        <v>5872.79053584</v>
      </c>
      <c r="L69" s="27" t="n">
        <v>630.38738112</v>
      </c>
      <c r="M69" s="27" t="n">
        <v>-4612.0157736</v>
      </c>
      <c r="N69" s="28" t="n">
        <v>-9854.418928319999</v>
      </c>
    </row>
    <row r="70">
      <c r="B70" s="91">
        <f>B69+1</f>
        <v>93</v>
      </c>
      <c r="C70" s="92" t="n">
        <v>6732.33</v>
      </c>
      <c r="E70" s="26">
        <f>E69+0.1</f>
        <v>3.3</v>
      </c>
      <c r="F70" s="27" t="n">
        <v>37884.80630944</v>
      </c>
      <c r="G70" s="27" t="n">
        <v>32642.40315472</v>
      </c>
      <c r="H70" s="27" t="n">
        <v>27400</v>
      </c>
      <c r="I70" s="27" t="n">
        <v>22157.59684528</v>
      </c>
      <c r="J70" s="27" t="n">
        <v>16915.19369056</v>
      </c>
      <c r="K70" s="27" t="n">
        <v>11672.79053584</v>
      </c>
      <c r="L70" s="27" t="n">
        <v>6430.38738112</v>
      </c>
      <c r="M70" s="27" t="n">
        <v>1187.9842264</v>
      </c>
      <c r="N70" s="28" t="n">
        <v>-4054.41892832</v>
      </c>
    </row>
    <row r="71">
      <c r="B71" s="91">
        <f>B70+1</f>
        <v>94</v>
      </c>
      <c r="C71" s="92" t="n">
        <v>5482.14</v>
      </c>
      <c r="E71" s="26">
        <f>E70+0.1</f>
        <v>3.4</v>
      </c>
      <c r="F71" s="27" t="n">
        <v>43684.80630944</v>
      </c>
      <c r="G71" s="27" t="n">
        <v>38442.40315472</v>
      </c>
      <c r="H71" s="27" t="n">
        <v>33200</v>
      </c>
      <c r="I71" s="27" t="n">
        <v>27957.59684528</v>
      </c>
      <c r="J71" s="27" t="n">
        <v>22715.19369056</v>
      </c>
      <c r="K71" s="27" t="n">
        <v>17472.79053584</v>
      </c>
      <c r="L71" s="27" t="n">
        <v>12230.38738112</v>
      </c>
      <c r="M71" s="27" t="n">
        <v>6987.9842264</v>
      </c>
      <c r="N71" s="28" t="n">
        <v>1745.58107168</v>
      </c>
    </row>
    <row r="72">
      <c r="B72" s="91">
        <f>B71+1</f>
        <v>95</v>
      </c>
      <c r="C72" s="92" t="n">
        <v>4231.95</v>
      </c>
      <c r="E72" s="30">
        <f>E71+0.1</f>
        <v>3.5</v>
      </c>
      <c r="F72" s="31" t="n">
        <v>49484.80630944</v>
      </c>
      <c r="G72" s="31" t="n">
        <v>44242.40315472</v>
      </c>
      <c r="H72" s="31" t="n">
        <v>39000</v>
      </c>
      <c r="I72" s="31" t="n">
        <v>33757.59684528</v>
      </c>
      <c r="J72" s="31" t="n">
        <v>28515.19369056</v>
      </c>
      <c r="K72" s="31" t="n">
        <v>23272.79053584</v>
      </c>
      <c r="L72" s="31" t="n">
        <v>18030.38738112</v>
      </c>
      <c r="M72" s="31" t="n">
        <v>12787.9842264</v>
      </c>
      <c r="N72" s="32" t="n">
        <v>7545.58107168</v>
      </c>
    </row>
    <row r="73">
      <c r="B73" s="91">
        <f>B72+1</f>
        <v>96</v>
      </c>
      <c r="C73" s="92" t="n">
        <v>2981.76</v>
      </c>
    </row>
    <row r="74">
      <c r="B74" s="91">
        <f>B73+1</f>
        <v>97</v>
      </c>
      <c r="C74" s="92" t="n">
        <v>1731.57</v>
      </c>
    </row>
    <row r="75">
      <c r="B75" s="91">
        <f>B74+1</f>
        <v>98</v>
      </c>
      <c r="C75" s="92" t="n">
        <v>481.38</v>
      </c>
    </row>
    <row r="76">
      <c r="B76" s="91">
        <f>B75+1</f>
        <v>99</v>
      </c>
      <c r="C76" s="92" t="n">
        <v>-768.8099999999999</v>
      </c>
    </row>
    <row r="77">
      <c r="B77" s="91">
        <f>B76+1</f>
        <v>100</v>
      </c>
      <c r="C77" s="92" t="n">
        <v>-2019</v>
      </c>
    </row>
    <row r="78">
      <c r="B78" s="91">
        <f>B77+1</f>
        <v>101</v>
      </c>
      <c r="C78" s="92" t="n">
        <v>-3269.19</v>
      </c>
    </row>
    <row r="79">
      <c r="B79" s="91">
        <f>B78+1</f>
        <v>102</v>
      </c>
      <c r="C79" s="92" t="n">
        <v>-4519.38</v>
      </c>
    </row>
    <row r="80">
      <c r="B80" s="91">
        <f>B79+1</f>
        <v>103</v>
      </c>
      <c r="C80" s="92" t="n">
        <v>-5769.57</v>
      </c>
    </row>
    <row r="81">
      <c r="B81" s="91">
        <f>B80+1</f>
        <v>104</v>
      </c>
      <c r="C81" s="92" t="n">
        <v>-7019.76</v>
      </c>
    </row>
    <row r="82">
      <c r="B82" s="94">
        <f>B81+1</f>
        <v>105</v>
      </c>
      <c r="C82" s="95" t="n">
        <v>-8269.950000000001</v>
      </c>
    </row>
  </sheetData>
  <scenarios current="0" show="0" sqref="C6 D14 E14">
    <scenario name="Bieżący" locked="1" count="3">
      <inputCells r="C6" val="3"/>
      <inputCells r="D14" val="15"/>
      <inputCells r="E14" val="80"/>
    </scenario>
    <scenario name="Optymistyczny" locked="1" count="3">
      <inputCells r="C6" val="3.5"/>
      <inputCells r="D14" val="10"/>
      <inputCells r="E14" val="70"/>
    </scenario>
    <scenario name="Pesymistyczny" locked="1" count="3">
      <inputCells r="C6" val="2.5"/>
      <inputCells r="D14" val="20"/>
      <inputCells r="E14" val="90"/>
    </scenario>
  </scenarios>
  <mergeCells count="5">
    <mergeCell ref="B13:C13"/>
    <mergeCell ref="D34:H34"/>
    <mergeCell ref="D11:H11"/>
    <mergeCell ref="B14:C14"/>
    <mergeCell ref="D17:H17"/>
  </mergeCells>
  <conditionalFormatting sqref="C62:C82 F62:N72">
    <cfRule type="cellIs" priority="1" operator="greaterThan" dxfId="1">
      <formula>0</formula>
    </cfRule>
    <cfRule type="cellIs" priority="2" operator="lessThan" dxfId="0">
      <formula>0</formula>
    </cfRule>
  </conditionalFormatting>
  <dataValidations count="2">
    <dataValidation sqref="C7" showDropDown="0" showInputMessage="1" showErrorMessage="1" allowBlank="1" operator="lessThan"/>
    <dataValidation sqref="C6" showDropDown="0" showInputMessage="1" showErrorMessage="1" allowBlank="1" type="decimal" operator="greaterThan">
      <formula1>0</formula1>
    </dataValidation>
  </dataValidations>
  <pageMargins left="0.7" right="0.7" top="0.75" bottom="0.75" header="0.3" footer="0.3"/>
  <pageSetup orientation="landscape" paperSize="9" fitToHeight="0" fitToWidth="1"/>
  <rowBreaks count="3" manualBreakCount="3">
    <brk id="58" min="0" max="16383" man="1"/>
    <brk id="83" min="0" max="16383" man="1"/>
    <brk id="104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2" ht="26" customHeight="1">
      <c r="B2" s="110" t="inlineStr">
        <is>
          <t>Podsumowanie scenariuszy – Hog-Dog sp. z o.o.</t>
        </is>
      </c>
    </row>
    <row r="4">
      <c r="C4" s="111" t="inlineStr">
        <is>
          <t>Wartości bieżące:</t>
        </is>
      </c>
      <c r="D4" s="111" t="inlineStr">
        <is>
          <t>Bieżący</t>
        </is>
      </c>
      <c r="E4" s="111" t="inlineStr">
        <is>
          <t>Optymistyczny</t>
        </is>
      </c>
      <c r="F4" s="111" t="inlineStr">
        <is>
          <t>Pesymistyczny</t>
        </is>
      </c>
    </row>
    <row r="5">
      <c r="B5" s="112" t="inlineStr">
        <is>
          <t>Komórki zmieniające się:</t>
        </is>
      </c>
    </row>
    <row r="6">
      <c r="B6" s="113" t="inlineStr">
        <is>
          <t>Cena_1_parowki</t>
        </is>
      </c>
      <c r="C6" s="114" t="n">
        <v>3</v>
      </c>
      <c r="D6" s="115" t="n">
        <v>3</v>
      </c>
      <c r="E6" s="115" t="n">
        <v>3.5</v>
      </c>
      <c r="F6" s="115" t="n">
        <v>2.5</v>
      </c>
    </row>
    <row r="7">
      <c r="B7" s="113" t="inlineStr">
        <is>
          <t>Koszt_Smoczego_sadla</t>
        </is>
      </c>
      <c r="C7" s="114" t="n">
        <v>15</v>
      </c>
      <c r="D7" s="115" t="n">
        <v>15</v>
      </c>
      <c r="E7" s="115" t="n">
        <v>10</v>
      </c>
      <c r="F7" s="115" t="n">
        <v>20</v>
      </c>
    </row>
    <row r="8">
      <c r="B8" s="113" t="inlineStr">
        <is>
          <t>Koszt_Mrowczego_miesa</t>
        </is>
      </c>
      <c r="C8" s="114" t="n">
        <v>80</v>
      </c>
      <c r="D8" s="115" t="n">
        <v>80</v>
      </c>
      <c r="E8" s="115" t="n">
        <v>70</v>
      </c>
      <c r="F8" s="115" t="n">
        <v>90</v>
      </c>
    </row>
    <row r="10">
      <c r="B10" s="112" t="inlineStr">
        <is>
          <t>Komórki wynikowe:</t>
        </is>
      </c>
    </row>
    <row r="11">
      <c r="B11" s="113" t="inlineStr">
        <is>
          <t>Koszty_roczne_Smocze_sadlo</t>
        </is>
      </c>
      <c r="C11" s="116" t="n">
        <v>23590.81419624217</v>
      </c>
      <c r="D11" s="116" t="n">
        <v>23590.81419624217</v>
      </c>
      <c r="E11" s="116" t="n">
        <v>15727.20946416145</v>
      </c>
      <c r="F11" s="116" t="n">
        <v>31454.41892832289</v>
      </c>
    </row>
    <row r="12">
      <c r="B12" s="113" t="inlineStr">
        <is>
          <t>Koszty_roczne_Mrowcze_mieso</t>
        </is>
      </c>
      <c r="C12" s="116" t="n">
        <v>83878.45047552772</v>
      </c>
      <c r="D12" s="116" t="n">
        <v>83878.45047552772</v>
      </c>
      <c r="E12" s="116" t="n">
        <v>73393.64416608676</v>
      </c>
      <c r="F12" s="116" t="n">
        <v>94363.25678496867</v>
      </c>
    </row>
    <row r="13">
      <c r="B13" s="113" t="inlineStr">
        <is>
          <t>Koszty_roczne_Makulatura</t>
        </is>
      </c>
      <c r="C13" s="116" t="n">
        <v>4718.162839248434</v>
      </c>
      <c r="D13" s="116" t="n">
        <v>4718.162839248434</v>
      </c>
      <c r="E13" s="116" t="n">
        <v>4718.162839248434</v>
      </c>
      <c r="F13" s="116" t="n">
        <v>4718.162839248434</v>
      </c>
    </row>
    <row r="14">
      <c r="B14" s="113" t="inlineStr">
        <is>
          <t>Koszty_roczne_Magic_Stufff</t>
        </is>
      </c>
      <c r="C14" s="116" t="n">
        <v>655.3003943400603</v>
      </c>
      <c r="D14" s="116" t="n">
        <v>655.3003943400603</v>
      </c>
      <c r="E14" s="116" t="n">
        <v>655.3003943400603</v>
      </c>
      <c r="F14" s="116" t="n">
        <v>655.3003943400603</v>
      </c>
    </row>
    <row r="15">
      <c r="B15" s="113" t="inlineStr">
        <is>
          <t>Koszty_roczne_Woda</t>
        </is>
      </c>
      <c r="C15" s="116" t="n">
        <v>157.2720946416145</v>
      </c>
      <c r="D15" s="116" t="n">
        <v>157.2720946416145</v>
      </c>
      <c r="E15" s="116" t="n">
        <v>157.2720946416145</v>
      </c>
      <c r="F15" s="116" t="n">
        <v>157.2720946416145</v>
      </c>
    </row>
    <row r="16">
      <c r="B16" s="113" t="inlineStr">
        <is>
          <t>Koszty_roczne_Razem</t>
        </is>
      </c>
      <c r="C16" s="116" t="n">
        <v>113000</v>
      </c>
      <c r="D16" s="116" t="n">
        <v>113000</v>
      </c>
      <c r="E16" s="116" t="n">
        <v>94651.58895847831</v>
      </c>
      <c r="F16" s="116" t="n">
        <v>131348.4110415217</v>
      </c>
    </row>
    <row r="17">
      <c r="B17" s="117" t="inlineStr">
        <is>
          <t>ZYSK</t>
        </is>
      </c>
      <c r="C17" s="118" t="n">
        <v>10000.00000000001</v>
      </c>
      <c r="D17" s="118" t="n">
        <v>10000.00000000001</v>
      </c>
      <c r="E17" s="118" t="n">
        <v>57348.4110415217</v>
      </c>
      <c r="F17" s="119" t="n">
        <v>-37348.41104152166</v>
      </c>
    </row>
    <row r="19">
      <c r="B19" s="120" t="inlineStr">
        <is>
          <t>Uwaga: kolumna „Wartości bieżące” pokazuje stan komórek w chwili tworzenia raportu. Szare komórki to zmieniane komórki wejściowe poszczególnych scenariuszy. Scenariusze są zapisane w Menedżerze scenariuszy arkusza „Wykonalność”.</t>
        </is>
      </c>
    </row>
    <row r="20"/>
  </sheetData>
  <mergeCells count="4">
    <mergeCell ref="B2:F2"/>
    <mergeCell ref="B19:F20"/>
    <mergeCell ref="B10:F10"/>
    <mergeCell ref="B5:F5"/>
  </mergeCells>
  <pageMargins left="0.5" right="0.5" top="0.5" bottom="0.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</dc:creator>
  <dcterms:created xsi:type="dcterms:W3CDTF">2010-11-23T22:58:12Z</dcterms:created>
  <dcterms:modified xsi:type="dcterms:W3CDTF">2026-10-28T21:08:51Z</dcterms:modified>
  <cp:lastModifiedBy>Wiesław Dobrowolski</cp:lastModifiedBy>
</cp:coreProperties>
</file>