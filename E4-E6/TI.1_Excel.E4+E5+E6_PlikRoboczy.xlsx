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filip\Downloads\"/>
    </mc:Choice>
  </mc:AlternateContent>
  <xr:revisionPtr revIDLastSave="0" documentId="13_ncr:1_{5D6ED72E-D5DB-496B-A676-873B0D381FBF}" xr6:coauthVersionLast="47" xr6:coauthVersionMax="47" xr10:uidLastSave="{00000000-0000-0000-0000-000000000000}"/>
  <bookViews>
    <workbookView xWindow="-90" yWindow="0" windowWidth="19380" windowHeight="20970" xr2:uid="{00000000-000D-0000-FFFF-FFFF00000000}"/>
  </bookViews>
  <sheets>
    <sheet name="Wykonalność" sheetId="1" r:id="rId1"/>
  </sheets>
  <definedNames>
    <definedName name="solver_adj" localSheetId="0" hidden="1">Wykonalność!$D$13:$E$13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Wykonalność!$I$57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G24" i="1"/>
  <c r="E19" i="1"/>
  <c r="F19" i="1"/>
  <c r="G19" i="1"/>
  <c r="G36" i="1" s="1"/>
  <c r="H19" i="1"/>
  <c r="E20" i="1"/>
  <c r="E37" i="1" s="1"/>
  <c r="F20" i="1"/>
  <c r="F37" i="1" s="1"/>
  <c r="G20" i="1"/>
  <c r="G37" i="1" s="1"/>
  <c r="H20" i="1"/>
  <c r="H37" i="1" s="1"/>
  <c r="E21" i="1"/>
  <c r="E38" i="1" s="1"/>
  <c r="F21" i="1"/>
  <c r="F38" i="1" s="1"/>
  <c r="G21" i="1"/>
  <c r="G38" i="1" s="1"/>
  <c r="H21" i="1"/>
  <c r="H38" i="1" s="1"/>
  <c r="E22" i="1"/>
  <c r="E39" i="1" s="1"/>
  <c r="F22" i="1"/>
  <c r="F39" i="1" s="1"/>
  <c r="G22" i="1"/>
  <c r="G39" i="1" s="1"/>
  <c r="H22" i="1"/>
  <c r="H39" i="1" s="1"/>
  <c r="E23" i="1"/>
  <c r="E40" i="1" s="1"/>
  <c r="F23" i="1"/>
  <c r="F40" i="1" s="1"/>
  <c r="G23" i="1"/>
  <c r="G40" i="1" s="1"/>
  <c r="H23" i="1"/>
  <c r="H40" i="1" s="1"/>
  <c r="E24" i="1"/>
  <c r="E41" i="1" s="1"/>
  <c r="F24" i="1"/>
  <c r="F41" i="1" s="1"/>
  <c r="H24" i="1"/>
  <c r="H41" i="1" s="1"/>
  <c r="E25" i="1"/>
  <c r="E42" i="1" s="1"/>
  <c r="F25" i="1"/>
  <c r="F42" i="1" s="1"/>
  <c r="G25" i="1"/>
  <c r="G42" i="1" s="1"/>
  <c r="H25" i="1"/>
  <c r="H42" i="1" s="1"/>
  <c r="E26" i="1"/>
  <c r="E43" i="1" s="1"/>
  <c r="F26" i="1"/>
  <c r="F43" i="1" s="1"/>
  <c r="G26" i="1"/>
  <c r="G43" i="1" s="1"/>
  <c r="H26" i="1"/>
  <c r="H43" i="1" s="1"/>
  <c r="E27" i="1"/>
  <c r="E44" i="1" s="1"/>
  <c r="F27" i="1"/>
  <c r="F44" i="1" s="1"/>
  <c r="G27" i="1"/>
  <c r="G44" i="1" s="1"/>
  <c r="H27" i="1"/>
  <c r="H44" i="1" s="1"/>
  <c r="E28" i="1"/>
  <c r="E45" i="1" s="1"/>
  <c r="F28" i="1"/>
  <c r="F45" i="1" s="1"/>
  <c r="G28" i="1"/>
  <c r="G45" i="1" s="1"/>
  <c r="H28" i="1"/>
  <c r="H45" i="1" s="1"/>
  <c r="E29" i="1"/>
  <c r="E46" i="1" s="1"/>
  <c r="F29" i="1"/>
  <c r="F46" i="1" s="1"/>
  <c r="G29" i="1"/>
  <c r="G46" i="1" s="1"/>
  <c r="H29" i="1"/>
  <c r="H46" i="1" s="1"/>
  <c r="E30" i="1"/>
  <c r="E47" i="1" s="1"/>
  <c r="F30" i="1"/>
  <c r="F47" i="1" s="1"/>
  <c r="G30" i="1"/>
  <c r="G47" i="1" s="1"/>
  <c r="H30" i="1"/>
  <c r="H47" i="1" s="1"/>
  <c r="D20" i="1"/>
  <c r="D37" i="1" s="1"/>
  <c r="D21" i="1"/>
  <c r="D38" i="1" s="1"/>
  <c r="D22" i="1"/>
  <c r="D39" i="1" s="1"/>
  <c r="D23" i="1"/>
  <c r="D40" i="1" s="1"/>
  <c r="D24" i="1"/>
  <c r="D41" i="1" s="1"/>
  <c r="D25" i="1"/>
  <c r="D42" i="1" s="1"/>
  <c r="D26" i="1"/>
  <c r="D43" i="1" s="1"/>
  <c r="D27" i="1"/>
  <c r="D44" i="1" s="1"/>
  <c r="D28" i="1"/>
  <c r="D45" i="1" s="1"/>
  <c r="D29" i="1"/>
  <c r="D46" i="1" s="1"/>
  <c r="D30" i="1"/>
  <c r="D47" i="1" s="1"/>
  <c r="D19" i="1"/>
  <c r="F18" i="1"/>
  <c r="B37" i="1"/>
  <c r="B38" i="1"/>
  <c r="B39" i="1"/>
  <c r="B40" i="1"/>
  <c r="B41" i="1"/>
  <c r="B42" i="1"/>
  <c r="B43" i="1"/>
  <c r="B44" i="1"/>
  <c r="B45" i="1"/>
  <c r="B46" i="1"/>
  <c r="B47" i="1"/>
  <c r="B36" i="1"/>
  <c r="B35" i="1"/>
  <c r="F36" i="1" l="1"/>
  <c r="F31" i="1"/>
  <c r="H36" i="1"/>
  <c r="H31" i="1"/>
  <c r="G41" i="1"/>
  <c r="G31" i="1"/>
  <c r="E36" i="1"/>
  <c r="E31" i="1"/>
  <c r="D36" i="1"/>
  <c r="D31" i="1"/>
  <c r="I51" i="1"/>
  <c r="B63" i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F35" i="1"/>
  <c r="D18" i="1"/>
  <c r="D35" i="1" s="1"/>
  <c r="E18" i="1"/>
  <c r="E35" i="1" s="1"/>
  <c r="G18" i="1"/>
  <c r="G35" i="1" s="1"/>
  <c r="H18" i="1"/>
  <c r="H35" i="1" s="1"/>
  <c r="E63" i="1" l="1"/>
  <c r="E64" i="1" s="1"/>
  <c r="E65" i="1" s="1"/>
  <c r="E66" i="1" s="1"/>
  <c r="E67" i="1" s="1"/>
  <c r="E68" i="1" s="1"/>
  <c r="E69" i="1" s="1"/>
  <c r="E70" i="1" s="1"/>
  <c r="E71" i="1" s="1"/>
  <c r="E72" i="1" s="1"/>
  <c r="G61" i="1"/>
  <c r="H61" i="1" s="1"/>
  <c r="I61" i="1" s="1"/>
  <c r="J61" i="1" s="1"/>
  <c r="K61" i="1" s="1"/>
  <c r="L61" i="1" s="1"/>
  <c r="M61" i="1" s="1"/>
  <c r="N61" i="1" s="1"/>
  <c r="H13" i="1"/>
  <c r="I53" i="1"/>
  <c r="H48" i="1" l="1"/>
  <c r="I46" i="1" l="1"/>
  <c r="I44" i="1"/>
  <c r="I43" i="1"/>
  <c r="I45" i="1"/>
  <c r="I42" i="1"/>
  <c r="I41" i="1"/>
  <c r="I40" i="1"/>
  <c r="I39" i="1"/>
  <c r="I38" i="1"/>
  <c r="I37" i="1"/>
  <c r="I47" i="1"/>
  <c r="I36" i="1"/>
  <c r="D51" i="1" s="1"/>
  <c r="D52" i="1" s="1"/>
  <c r="D53" i="1" s="1"/>
  <c r="I48" i="1" l="1"/>
  <c r="C7" i="1" s="1"/>
  <c r="D48" i="1"/>
  <c r="F48" i="1"/>
  <c r="E48" i="1"/>
  <c r="I52" i="1" l="1"/>
  <c r="I54" i="1"/>
  <c r="I55" i="1" s="1"/>
  <c r="G48" i="1"/>
  <c r="I5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WD</author>
  </authors>
  <commentList>
    <comment ref="H12" authorId="0" shapeId="0" xr:uid="{00000000-0006-0000-0000-000001000000}">
      <text>
        <r>
          <rPr>
            <sz val="9"/>
            <color indexed="81"/>
            <rFont val="Tahoma"/>
            <family val="2"/>
            <charset val="238"/>
          </rPr>
          <t>Dopełnić do 100%</t>
        </r>
      </text>
    </comment>
    <comment ref="D17" authorId="0" shapeId="0" xr:uid="{00000000-0006-0000-0000-000002000000}">
      <text>
        <r>
          <rPr>
            <sz val="9"/>
            <color indexed="81"/>
            <rFont val="Tahoma"/>
            <family val="2"/>
            <charset val="238"/>
          </rPr>
          <t>Ile kilogramów poszczególnych składników trzeba zamówić każdego miesiąca.</t>
        </r>
      </text>
    </comment>
    <comment ref="C18" authorId="0" shapeId="0" xr:uid="{00000000-0006-0000-0000-000003000000}">
      <text>
        <r>
          <rPr>
            <sz val="9"/>
            <color indexed="81"/>
            <rFont val="Tahoma"/>
            <family val="2"/>
            <charset val="238"/>
          </rPr>
          <t>Ile parówek będzie sprzedanych w każdym miesiącu.</t>
        </r>
      </text>
    </comment>
  </commentList>
</comments>
</file>

<file path=xl/sharedStrings.xml><?xml version="1.0" encoding="utf-8"?>
<sst xmlns="http://schemas.openxmlformats.org/spreadsheetml/2006/main" count="77" uniqueCount="76">
  <si>
    <t>Mar</t>
  </si>
  <si>
    <t>a</t>
  </si>
  <si>
    <t>b</t>
  </si>
  <si>
    <t>c</t>
  </si>
  <si>
    <t>Dane i założenia (zmienne wejściowe)</t>
  </si>
  <si>
    <t>Tabela 1</t>
  </si>
  <si>
    <t>Koszty zmienne:</t>
  </si>
  <si>
    <t>Koszty stałe:</t>
  </si>
  <si>
    <t>Waga parówki:</t>
  </si>
  <si>
    <t>(ile zapłaci klient za 1 parówkę)</t>
  </si>
  <si>
    <t>(koszt składników jednej parówki)</t>
  </si>
  <si>
    <t>(miesięczne wydatki niezależne od ilości wyprodukowanych parówek)</t>
  </si>
  <si>
    <t>Składniki</t>
  </si>
  <si>
    <t>Woda</t>
  </si>
  <si>
    <t>Smocze sadło</t>
  </si>
  <si>
    <t>Mrówcze mięso</t>
  </si>
  <si>
    <t>Kilogramy składników</t>
  </si>
  <si>
    <t>Jednostki</t>
  </si>
  <si>
    <t>Razem € rocznie</t>
  </si>
  <si>
    <t>Miesiąc</t>
  </si>
  <si>
    <t>Razem</t>
  </si>
  <si>
    <t>(sumaryczna ilość parówek w roku * cena parówki)</t>
  </si>
  <si>
    <t>Koszt składników [€]</t>
  </si>
  <si>
    <t>Sty</t>
  </si>
  <si>
    <t>Lut</t>
  </si>
  <si>
    <t>Kwi</t>
  </si>
  <si>
    <t>Maj</t>
  </si>
  <si>
    <t>Cze</t>
  </si>
  <si>
    <t>Lip</t>
  </si>
  <si>
    <t>Sie</t>
  </si>
  <si>
    <t>Wrz</t>
  </si>
  <si>
    <t>Paź</t>
  </si>
  <si>
    <t>Lis</t>
  </si>
  <si>
    <t>Gru</t>
  </si>
  <si>
    <t>Miesiąc o max koszcie:</t>
  </si>
  <si>
    <t>Miesięczny koszt max:</t>
  </si>
  <si>
    <t>Rachunek wyników</t>
  </si>
  <si>
    <t>Koszty zmienne</t>
  </si>
  <si>
    <t>Koszty stałe</t>
  </si>
  <si>
    <t>Koszty całkowite</t>
  </si>
  <si>
    <t>(składniki)</t>
  </si>
  <si>
    <t>(miesięczne stałe * 12)</t>
  </si>
  <si>
    <t>Spłata kredytu bankowego</t>
  </si>
  <si>
    <t>(Procent składnika w parówce)</t>
  </si>
  <si>
    <t>Zawartość [%]</t>
  </si>
  <si>
    <t>Waga-&gt;Zysk</t>
  </si>
  <si>
    <t>Tabela 3</t>
  </si>
  <si>
    <t>Tabela 4</t>
  </si>
  <si>
    <t>Tabela 5</t>
  </si>
  <si>
    <t>Tabela 6</t>
  </si>
  <si>
    <t>(Przychód ze sprzedaży minus Koszty całkowite)</t>
  </si>
  <si>
    <t>Dochód</t>
  </si>
  <si>
    <t>ZYSK</t>
  </si>
  <si>
    <t>Liczba parówek</t>
  </si>
  <si>
    <t>waga</t>
  </si>
  <si>
    <t>Obliczenia</t>
  </si>
  <si>
    <t>Analiza</t>
  </si>
  <si>
    <t>Hog-Dog sp. z o.o. - Studium wykonalności - analiza warunkowa</t>
  </si>
  <si>
    <t>Cena 1 parówki:</t>
  </si>
  <si>
    <t>gramów</t>
  </si>
  <si>
    <t>Koszt jednostkowy [€/kg]</t>
  </si>
  <si>
    <t>Makula-
tura</t>
  </si>
  <si>
    <t>Magic Stufff</t>
  </si>
  <si>
    <t>(Ile trzeba zapłacić za 1 kg lub litr)</t>
  </si>
  <si>
    <t>Sumaryczny roczny koszt wszystkich składników</t>
  </si>
  <si>
    <t>Ile parówek tego miesiąca:</t>
  </si>
  <si>
    <t>Najwyższe koszty/m-c</t>
  </si>
  <si>
    <t>Wpływy ze sprzedaży</t>
  </si>
  <si>
    <t>(koszty stałe +składników)</t>
  </si>
  <si>
    <t>(pieniądze jakie musimy spłacić w tym roku, obliczone gdzie indziej)</t>
  </si>
  <si>
    <t>(Wynik minus kredyt)</t>
  </si>
  <si>
    <t>Tabela 7</t>
  </si>
  <si>
    <t>Tabela 8</t>
  </si>
  <si>
    <t>Cena parówki i Cena mrówczego mięsa -&gt; Zysk</t>
  </si>
  <si>
    <t>Waga składników [kg]</t>
  </si>
  <si>
    <t>Tabela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</si>
</sst>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00\ [$€-1]"/>
    <numFmt numFmtId="166" formatCode="#,##0\ [$€-1]"/>
  </numFmts>
  <fonts count="13" x14ac:knownFonts="1">
    <font>
      <sz val="11"/>
      <color theme="1"/>
      <name val="Calibri"/>
      <family val="2"/>
      <charset val="238"/>
      <scheme val="minor"/>
    </font>
    <font>
      <sz val="11"/>
      <color rgb="FF9C0006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u/>
      <sz val="12"/>
      <color theme="1"/>
      <name val="Calibri"/>
      <family val="2"/>
      <charset val="238"/>
      <scheme val="minor"/>
    </font>
    <font>
      <b/>
      <sz val="14"/>
      <color theme="1"/>
      <name val="Times New Roman"/>
      <family val="1"/>
      <charset val="238"/>
    </font>
    <font>
      <b/>
      <sz val="11"/>
      <color rgb="FFFF0000"/>
      <name val="Calibri"/>
      <family val="2"/>
      <charset val="238"/>
      <scheme val="minor"/>
    </font>
    <font>
      <b/>
      <sz val="14"/>
      <color rgb="FFFF0000"/>
      <name val="Calibri"/>
      <family val="2"/>
      <charset val="238"/>
      <scheme val="minor"/>
    </font>
    <font>
      <b/>
      <sz val="12"/>
      <color rgb="FFFF0000"/>
      <name val="Calibri"/>
      <family val="2"/>
      <charset val="238"/>
      <scheme val="minor"/>
    </font>
    <font>
      <b/>
      <sz val="11"/>
      <color rgb="FF00B0F0"/>
      <name val="Calibri"/>
      <family val="2"/>
      <charset val="238"/>
      <scheme val="minor"/>
    </font>
    <font>
      <sz val="11"/>
      <color rgb="FF00B0F0"/>
      <name val="Calibri"/>
      <family val="2"/>
      <charset val="238"/>
      <scheme val="minor"/>
    </font>
    <font>
      <b/>
      <sz val="12"/>
      <color theme="5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9"/>
      <color indexed="81"/>
      <name val="Tahoma"/>
      <family val="2"/>
      <charset val="238"/>
    </font>
  </fonts>
  <fills count="13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lightUp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</fills>
  <borders count="4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theme="5" tint="-0.24994659260841701"/>
      </left>
      <right style="medium">
        <color theme="5" tint="-0.24994659260841701"/>
      </right>
      <top style="medium">
        <color theme="5" tint="-0.24994659260841701"/>
      </top>
      <bottom style="medium">
        <color theme="5" tint="-0.2499465926084170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94506668294322"/>
      </right>
      <top/>
      <bottom/>
      <diagonal/>
    </border>
    <border>
      <left/>
      <right/>
      <top/>
      <bottom style="thin">
        <color theme="3" tint="0.39994506668294322"/>
      </bottom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/>
      <diagonal/>
    </border>
    <border>
      <left/>
      <right style="thin">
        <color theme="3" tint="0.39991454817346722"/>
      </right>
      <top/>
      <bottom/>
      <diagonal/>
    </border>
    <border>
      <left style="thin">
        <color theme="3" tint="0.39991454817346722"/>
      </left>
      <right/>
      <top/>
      <bottom style="thin">
        <color theme="3" tint="0.39994506668294322"/>
      </bottom>
      <diagonal/>
    </border>
    <border>
      <left/>
      <right style="thin">
        <color theme="3" tint="0.399914548173467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 style="thin">
        <color theme="3" tint="0.39994506668294322"/>
      </top>
      <bottom style="thin">
        <color theme="3" tint="0.39991454817346722"/>
      </bottom>
      <diagonal/>
    </border>
    <border>
      <left/>
      <right/>
      <top style="thin">
        <color theme="3" tint="0.39994506668294322"/>
      </top>
      <bottom style="thin">
        <color theme="3" tint="0.39991454817346722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 style="thin">
        <color theme="3" tint="0.39991454817346722"/>
      </bottom>
      <diagonal/>
    </border>
    <border>
      <left style="thin">
        <color theme="3" tint="0.39994506668294322"/>
      </left>
      <right/>
      <top style="thin">
        <color theme="3" tint="0.39991454817346722"/>
      </top>
      <bottom style="thin">
        <color theme="3" tint="0.39994506668294322"/>
      </bottom>
      <diagonal/>
    </border>
    <border>
      <left/>
      <right/>
      <top style="thin">
        <color theme="3" tint="0.39991454817346722"/>
      </top>
      <bottom style="thin">
        <color theme="3" tint="0.39994506668294322"/>
      </bottom>
      <diagonal/>
    </border>
    <border>
      <left/>
      <right style="medium">
        <color theme="5" tint="-0.24994659260841701"/>
      </right>
      <top style="thin">
        <color theme="3" tint="0.39991454817346722"/>
      </top>
      <bottom style="thin">
        <color theme="3" tint="0.39994506668294322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hair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hair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hair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95">
    <xf numFmtId="0" fontId="0" fillId="0" borderId="0" xfId="0"/>
    <xf numFmtId="0" fontId="0" fillId="0" borderId="0" xfId="0" applyAlignment="1">
      <alignment horizontal="right"/>
    </xf>
    <xf numFmtId="0" fontId="3" fillId="4" borderId="0" xfId="0" applyFont="1" applyFill="1" applyAlignment="1">
      <alignment vertical="center"/>
    </xf>
    <xf numFmtId="0" fontId="0" fillId="4" borderId="0" xfId="0" applyFill="1"/>
    <xf numFmtId="0" fontId="4" fillId="5" borderId="0" xfId="0" applyFont="1" applyFill="1"/>
    <xf numFmtId="0" fontId="0" fillId="5" borderId="0" xfId="0" applyFill="1"/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9" fontId="0" fillId="0" borderId="2" xfId="0" applyNumberFormat="1" applyBorder="1"/>
    <xf numFmtId="0" fontId="0" fillId="0" borderId="5" xfId="0" applyBorder="1"/>
    <xf numFmtId="0" fontId="0" fillId="0" borderId="6" xfId="0" applyBorder="1"/>
    <xf numFmtId="1" fontId="0" fillId="0" borderId="2" xfId="0" applyNumberFormat="1" applyBorder="1"/>
    <xf numFmtId="0" fontId="0" fillId="0" borderId="7" xfId="0" applyBorder="1"/>
    <xf numFmtId="0" fontId="2" fillId="0" borderId="0" xfId="0" applyFont="1"/>
    <xf numFmtId="0" fontId="7" fillId="0" borderId="0" xfId="0" applyFont="1"/>
    <xf numFmtId="0" fontId="0" fillId="0" borderId="8" xfId="0" applyBorder="1" applyAlignment="1">
      <alignment horizontal="left"/>
    </xf>
    <xf numFmtId="0" fontId="0" fillId="0" borderId="4" xfId="0" applyBorder="1"/>
    <xf numFmtId="0" fontId="0" fillId="3" borderId="4" xfId="0" applyFill="1" applyBorder="1"/>
    <xf numFmtId="0" fontId="9" fillId="0" borderId="0" xfId="0" applyFont="1"/>
    <xf numFmtId="3" fontId="0" fillId="0" borderId="10" xfId="0" applyNumberFormat="1" applyBorder="1"/>
    <xf numFmtId="9" fontId="0" fillId="8" borderId="2" xfId="0" applyNumberFormat="1" applyFill="1" applyBorder="1"/>
    <xf numFmtId="0" fontId="0" fillId="0" borderId="3" xfId="0" applyBorder="1"/>
    <xf numFmtId="3" fontId="0" fillId="0" borderId="11" xfId="0" applyNumberFormat="1" applyBorder="1"/>
    <xf numFmtId="2" fontId="0" fillId="0" borderId="12" xfId="0" applyNumberFormat="1" applyBorder="1"/>
    <xf numFmtId="2" fontId="5" fillId="0" borderId="12" xfId="0" applyNumberFormat="1" applyFont="1" applyBorder="1"/>
    <xf numFmtId="2" fontId="0" fillId="0" borderId="13" xfId="0" applyNumberFormat="1" applyBorder="1"/>
    <xf numFmtId="2" fontId="0" fillId="0" borderId="14" xfId="0" applyNumberFormat="1" applyBorder="1"/>
    <xf numFmtId="3" fontId="0" fillId="0" borderId="1" xfId="0" applyNumberFormat="1" applyBorder="1"/>
    <xf numFmtId="3" fontId="0" fillId="0" borderId="15" xfId="0" applyNumberFormat="1" applyBorder="1"/>
    <xf numFmtId="2" fontId="5" fillId="0" borderId="14" xfId="0" applyNumberFormat="1" applyFont="1" applyBorder="1"/>
    <xf numFmtId="2" fontId="0" fillId="0" borderId="16" xfId="0" applyNumberFormat="1" applyBorder="1"/>
    <xf numFmtId="3" fontId="0" fillId="0" borderId="17" xfId="0" applyNumberFormat="1" applyBorder="1"/>
    <xf numFmtId="3" fontId="0" fillId="0" borderId="18" xfId="0" applyNumberFormat="1" applyBorder="1"/>
    <xf numFmtId="0" fontId="0" fillId="0" borderId="0" xfId="0" applyAlignment="1">
      <alignment horizontal="center"/>
    </xf>
    <xf numFmtId="2" fontId="0" fillId="0" borderId="0" xfId="0" applyNumberFormat="1"/>
    <xf numFmtId="3" fontId="10" fillId="7" borderId="9" xfId="0" applyNumberFormat="1" applyFont="1" applyFill="1" applyBorder="1" applyAlignment="1">
      <alignment horizontal="center" vertical="center"/>
    </xf>
    <xf numFmtId="165" fontId="11" fillId="2" borderId="19" xfId="1" applyNumberFormat="1" applyFont="1" applyBorder="1"/>
    <xf numFmtId="0" fontId="0" fillId="0" borderId="7" xfId="0" applyBorder="1" applyAlignment="1">
      <alignment horizontal="right"/>
    </xf>
    <xf numFmtId="166" fontId="0" fillId="6" borderId="19" xfId="0" applyNumberFormat="1" applyFill="1" applyBorder="1"/>
    <xf numFmtId="165" fontId="0" fillId="0" borderId="2" xfId="0" applyNumberFormat="1" applyBorder="1"/>
    <xf numFmtId="165" fontId="11" fillId="2" borderId="2" xfId="1" applyNumberFormat="1" applyFont="1" applyBorder="1"/>
    <xf numFmtId="0" fontId="0" fillId="0" borderId="20" xfId="0" applyBorder="1"/>
    <xf numFmtId="1" fontId="0" fillId="0" borderId="21" xfId="0" applyNumberFormat="1" applyBorder="1"/>
    <xf numFmtId="164" fontId="11" fillId="2" borderId="19" xfId="1" applyNumberFormat="1" applyFont="1" applyBorder="1"/>
    <xf numFmtId="1" fontId="0" fillId="9" borderId="0" xfId="0" applyNumberFormat="1" applyFill="1"/>
    <xf numFmtId="0" fontId="0" fillId="3" borderId="5" xfId="0" applyFill="1" applyBorder="1"/>
    <xf numFmtId="3" fontId="0" fillId="0" borderId="23" xfId="0" applyNumberFormat="1" applyBorder="1"/>
    <xf numFmtId="0" fontId="0" fillId="0" borderId="20" xfId="0" applyBorder="1" applyAlignment="1">
      <alignment horizontal="centerContinuous"/>
    </xf>
    <xf numFmtId="0" fontId="0" fillId="0" borderId="5" xfId="0" applyBorder="1" applyAlignment="1">
      <alignment horizontal="centerContinuous"/>
    </xf>
    <xf numFmtId="3" fontId="0" fillId="0" borderId="21" xfId="0" applyNumberFormat="1" applyBorder="1"/>
    <xf numFmtId="3" fontId="0" fillId="0" borderId="22" xfId="0" applyNumberFormat="1" applyBorder="1"/>
    <xf numFmtId="3" fontId="8" fillId="0" borderId="24" xfId="0" applyNumberFormat="1" applyFont="1" applyBorder="1"/>
    <xf numFmtId="0" fontId="0" fillId="0" borderId="3" xfId="0" applyBorder="1" applyAlignment="1">
      <alignment horizontal="center" vertical="center" wrapText="1"/>
    </xf>
    <xf numFmtId="0" fontId="0" fillId="0" borderId="10" xfId="0" applyBorder="1" applyAlignment="1">
      <alignment horizontal="center" wrapText="1"/>
    </xf>
    <xf numFmtId="164" fontId="0" fillId="10" borderId="21" xfId="0" applyNumberFormat="1" applyFill="1" applyBorder="1"/>
    <xf numFmtId="3" fontId="0" fillId="11" borderId="21" xfId="0" applyNumberFormat="1" applyFill="1" applyBorder="1"/>
    <xf numFmtId="3" fontId="0" fillId="12" borderId="4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7" borderId="25" xfId="0" applyFill="1" applyBorder="1"/>
    <xf numFmtId="0" fontId="0" fillId="7" borderId="0" xfId="0" applyFill="1"/>
    <xf numFmtId="0" fontId="0" fillId="7" borderId="0" xfId="0" applyFill="1" applyAlignment="1">
      <alignment horizontal="right"/>
    </xf>
    <xf numFmtId="3" fontId="2" fillId="7" borderId="26" xfId="0" applyNumberFormat="1" applyFont="1" applyFill="1" applyBorder="1"/>
    <xf numFmtId="3" fontId="0" fillId="6" borderId="26" xfId="0" applyNumberFormat="1" applyFill="1" applyBorder="1"/>
    <xf numFmtId="0" fontId="0" fillId="7" borderId="28" xfId="0" applyFill="1" applyBorder="1"/>
    <xf numFmtId="0" fontId="0" fillId="7" borderId="29" xfId="0" applyFill="1" applyBorder="1"/>
    <xf numFmtId="0" fontId="0" fillId="7" borderId="29" xfId="0" applyFill="1" applyBorder="1" applyAlignment="1">
      <alignment horizontal="right"/>
    </xf>
    <xf numFmtId="3" fontId="0" fillId="7" borderId="30" xfId="0" applyNumberFormat="1" applyFill="1" applyBorder="1"/>
    <xf numFmtId="0" fontId="0" fillId="7" borderId="31" xfId="0" applyFill="1" applyBorder="1"/>
    <xf numFmtId="3" fontId="0" fillId="7" borderId="32" xfId="0" applyNumberFormat="1" applyFill="1" applyBorder="1"/>
    <xf numFmtId="0" fontId="0" fillId="7" borderId="33" xfId="0" applyFill="1" applyBorder="1"/>
    <xf numFmtId="0" fontId="0" fillId="7" borderId="27" xfId="0" applyFill="1" applyBorder="1" applyAlignment="1">
      <alignment horizontal="right"/>
    </xf>
    <xf numFmtId="3" fontId="2" fillId="7" borderId="34" xfId="0" applyNumberFormat="1" applyFont="1" applyFill="1" applyBorder="1"/>
    <xf numFmtId="0" fontId="0" fillId="7" borderId="35" xfId="0" applyFill="1" applyBorder="1"/>
    <xf numFmtId="0" fontId="0" fillId="7" borderId="36" xfId="0" applyFill="1" applyBorder="1"/>
    <xf numFmtId="0" fontId="0" fillId="7" borderId="36" xfId="0" applyFill="1" applyBorder="1" applyAlignment="1">
      <alignment horizontal="right"/>
    </xf>
    <xf numFmtId="3" fontId="0" fillId="7" borderId="37" xfId="0" applyNumberFormat="1" applyFill="1" applyBorder="1"/>
    <xf numFmtId="0" fontId="0" fillId="7" borderId="38" xfId="0" applyFill="1" applyBorder="1"/>
    <xf numFmtId="0" fontId="0" fillId="7" borderId="39" xfId="0" applyFill="1" applyBorder="1"/>
    <xf numFmtId="0" fontId="6" fillId="7" borderId="40" xfId="0" applyFont="1" applyFill="1" applyBorder="1" applyAlignment="1">
      <alignment horizontal="right"/>
    </xf>
    <xf numFmtId="165" fontId="0" fillId="6" borderId="19" xfId="0" applyNumberFormat="1" applyFill="1" applyBorder="1" applyAlignment="1">
      <alignment horizontal="right"/>
    </xf>
    <xf numFmtId="0" fontId="11" fillId="0" borderId="0" xfId="0" applyFont="1"/>
    <xf numFmtId="164" fontId="11" fillId="0" borderId="0" xfId="0" applyNumberFormat="1" applyFont="1"/>
    <xf numFmtId="0" fontId="0" fillId="0" borderId="7" xfId="0" applyBorder="1" applyAlignment="1">
      <alignment horizontal="center" wrapText="1"/>
    </xf>
    <xf numFmtId="0" fontId="0" fillId="0" borderId="41" xfId="0" applyBorder="1" applyAlignment="1">
      <alignment horizontal="right"/>
    </xf>
    <xf numFmtId="3" fontId="0" fillId="0" borderId="42" xfId="0" applyNumberFormat="1" applyBorder="1"/>
    <xf numFmtId="0" fontId="0" fillId="0" borderId="43" xfId="0" applyBorder="1"/>
    <xf numFmtId="3" fontId="0" fillId="0" borderId="44" xfId="0" applyNumberFormat="1" applyBorder="1"/>
    <xf numFmtId="3" fontId="5" fillId="0" borderId="43" xfId="0" applyNumberFormat="1" applyFont="1" applyBorder="1"/>
    <xf numFmtId="0" fontId="0" fillId="0" borderId="45" xfId="0" applyBorder="1"/>
    <xf numFmtId="3" fontId="0" fillId="0" borderId="46" xfId="0" applyNumberFormat="1" applyBorder="1"/>
    <xf numFmtId="0" fontId="0" fillId="0" borderId="2" xfId="0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2">
    <cellStyle name="Normalny" xfId="0" builtinId="0"/>
    <cellStyle name="Zły" xfId="1" builtinId="27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2"/>
  <sheetViews>
    <sheetView showGridLines="0" tabSelected="1" topLeftCell="A35" workbookViewId="0">
      <selection activeCell="F80" sqref="F80"/>
    </sheetView>
  </sheetViews>
  <sheetFormatPr defaultRowHeight="14.5" x14ac:dyDescent="0.35"/>
  <cols>
    <col min="1" max="1" width="8.453125" customWidth="1"/>
    <col min="2" max="3" width="11.81640625" customWidth="1"/>
    <col min="4" max="4" width="8.54296875" customWidth="1"/>
    <col min="5" max="5" width="9.54296875" customWidth="1"/>
    <col min="6" max="6" width="8.54296875" customWidth="1"/>
    <col min="7" max="7" width="9.7265625" customWidth="1"/>
    <col min="8" max="26" width="8.54296875" customWidth="1"/>
  </cols>
  <sheetData>
    <row r="1" spans="1:11" ht="9" customHeight="1" x14ac:dyDescent="0.35"/>
    <row r="2" spans="1:11" s="5" customFormat="1" ht="17.5" x14ac:dyDescent="0.35">
      <c r="A2" s="4" t="s">
        <v>57</v>
      </c>
      <c r="B2" s="4"/>
    </row>
    <row r="3" spans="1:11" ht="6" customHeight="1" x14ac:dyDescent="0.35"/>
    <row r="4" spans="1:11" s="3" customFormat="1" ht="18.75" customHeight="1" x14ac:dyDescent="0.35">
      <c r="A4" s="2" t="s">
        <v>4</v>
      </c>
      <c r="B4" s="2"/>
    </row>
    <row r="5" spans="1:11" ht="15.5" x14ac:dyDescent="0.35">
      <c r="B5" s="14" t="s">
        <v>5</v>
      </c>
    </row>
    <row r="6" spans="1:11" x14ac:dyDescent="0.35">
      <c r="A6" s="21"/>
      <c r="B6" s="37" t="s">
        <v>58</v>
      </c>
      <c r="C6" s="36">
        <v>3</v>
      </c>
      <c r="D6" s="12" t="s">
        <v>9</v>
      </c>
      <c r="E6" s="12"/>
      <c r="F6" s="12"/>
      <c r="G6" s="12"/>
      <c r="H6" s="12"/>
      <c r="I6" s="12"/>
      <c r="J6" s="12"/>
      <c r="K6" s="16"/>
    </row>
    <row r="7" spans="1:11" x14ac:dyDescent="0.35">
      <c r="A7" s="21"/>
      <c r="B7" s="37" t="s">
        <v>6</v>
      </c>
      <c r="C7" s="79">
        <f>IF(C31 &lt;&gt; 0,I48/C31, "Nie można dzielic przez 0")</f>
        <v>1.9482758620689657</v>
      </c>
      <c r="D7" s="12" t="s">
        <v>10</v>
      </c>
      <c r="E7" s="12"/>
      <c r="F7" s="12"/>
      <c r="G7" s="12"/>
      <c r="H7" s="12"/>
      <c r="I7" s="12"/>
      <c r="J7" s="12"/>
      <c r="K7" s="16"/>
    </row>
    <row r="8" spans="1:11" x14ac:dyDescent="0.35">
      <c r="A8" s="21"/>
      <c r="B8" s="37" t="s">
        <v>7</v>
      </c>
      <c r="C8" s="38">
        <v>3000</v>
      </c>
      <c r="D8" s="12" t="s">
        <v>11</v>
      </c>
      <c r="E8" s="12"/>
      <c r="F8" s="12"/>
      <c r="G8" s="12"/>
      <c r="H8" s="12"/>
      <c r="I8" s="12"/>
      <c r="J8" s="12"/>
      <c r="K8" s="16"/>
    </row>
    <row r="9" spans="1:11" x14ac:dyDescent="0.35">
      <c r="A9" s="21"/>
      <c r="B9" s="37" t="s">
        <v>8</v>
      </c>
      <c r="C9" s="43">
        <v>90.386261288284203</v>
      </c>
      <c r="D9" s="12" t="s">
        <v>59</v>
      </c>
      <c r="E9" s="12"/>
      <c r="F9" s="12"/>
      <c r="G9" s="12"/>
      <c r="H9" s="12"/>
      <c r="I9" s="12"/>
      <c r="J9" s="12"/>
      <c r="K9" s="16"/>
    </row>
    <row r="10" spans="1:11" x14ac:dyDescent="0.35">
      <c r="B10" s="1"/>
    </row>
    <row r="11" spans="1:11" x14ac:dyDescent="0.35">
      <c r="C11" s="10"/>
      <c r="D11" s="90" t="s">
        <v>12</v>
      </c>
      <c r="E11" s="90"/>
      <c r="F11" s="90"/>
      <c r="G11" s="90"/>
      <c r="H11" s="90"/>
    </row>
    <row r="12" spans="1:11" ht="29" x14ac:dyDescent="0.35">
      <c r="B12" s="14" t="s">
        <v>75</v>
      </c>
      <c r="C12" s="9"/>
      <c r="D12" s="6" t="s">
        <v>14</v>
      </c>
      <c r="E12" s="6" t="s">
        <v>15</v>
      </c>
      <c r="F12" s="6" t="s">
        <v>61</v>
      </c>
      <c r="G12" s="6" t="s">
        <v>62</v>
      </c>
      <c r="H12" s="7" t="s">
        <v>13</v>
      </c>
    </row>
    <row r="13" spans="1:11" x14ac:dyDescent="0.35">
      <c r="B13" s="90" t="s">
        <v>44</v>
      </c>
      <c r="C13" s="90"/>
      <c r="D13" s="20">
        <v>0.3</v>
      </c>
      <c r="E13" s="20">
        <v>0.2</v>
      </c>
      <c r="F13" s="20">
        <v>0.15</v>
      </c>
      <c r="G13" s="20">
        <v>0.05</v>
      </c>
      <c r="H13" s="8">
        <f>1-SUM(D13:G13)</f>
        <v>0.29999999999999993</v>
      </c>
      <c r="I13" t="s">
        <v>43</v>
      </c>
    </row>
    <row r="14" spans="1:11" x14ac:dyDescent="0.35">
      <c r="B14" s="90" t="s">
        <v>60</v>
      </c>
      <c r="C14" s="90"/>
      <c r="D14" s="39">
        <v>15</v>
      </c>
      <c r="E14" s="40">
        <v>80</v>
      </c>
      <c r="F14" s="39">
        <v>6</v>
      </c>
      <c r="G14" s="39">
        <v>2.5</v>
      </c>
      <c r="H14" s="39">
        <v>0.1</v>
      </c>
      <c r="I14" t="s">
        <v>63</v>
      </c>
    </row>
    <row r="15" spans="1:11" x14ac:dyDescent="0.35">
      <c r="B15" s="33"/>
      <c r="C15" s="33"/>
      <c r="D15" s="34"/>
      <c r="E15" s="34"/>
      <c r="F15" s="34"/>
      <c r="G15" s="34"/>
      <c r="H15" s="34"/>
    </row>
    <row r="16" spans="1:11" s="3" customFormat="1" ht="18.75" customHeight="1" x14ac:dyDescent="0.35">
      <c r="A16" s="2" t="s">
        <v>55</v>
      </c>
      <c r="B16" s="2"/>
    </row>
    <row r="17" spans="2:21" ht="15.5" x14ac:dyDescent="0.35">
      <c r="B17" s="14" t="s">
        <v>46</v>
      </c>
      <c r="D17" s="91" t="s">
        <v>74</v>
      </c>
      <c r="E17" s="92"/>
      <c r="F17" s="92"/>
      <c r="G17" s="92"/>
      <c r="H17" s="93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</row>
    <row r="18" spans="2:21" ht="29" x14ac:dyDescent="0.35">
      <c r="B18" s="12" t="s">
        <v>19</v>
      </c>
      <c r="C18" s="6" t="s">
        <v>53</v>
      </c>
      <c r="D18" s="6" t="str">
        <f t="shared" ref="D18:H18" si="0">D12</f>
        <v>Smocze sadło</v>
      </c>
      <c r="E18" s="6" t="str">
        <f t="shared" si="0"/>
        <v>Mrówcze mięso</v>
      </c>
      <c r="F18" s="6" t="str">
        <f t="shared" si="0"/>
        <v>Makula-
tura</v>
      </c>
      <c r="G18" s="6" t="str">
        <f t="shared" si="0"/>
        <v>Magic Stufff</v>
      </c>
      <c r="H18" s="7" t="str">
        <f t="shared" si="0"/>
        <v>Woda</v>
      </c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</row>
    <row r="19" spans="2:21" x14ac:dyDescent="0.35">
      <c r="B19" s="41" t="s">
        <v>23</v>
      </c>
      <c r="C19" s="42">
        <v>4000</v>
      </c>
      <c r="D19" s="54">
        <f>$C19*$C$9/1000*D$13</f>
        <v>108.46351354594104</v>
      </c>
      <c r="E19" s="54">
        <f t="shared" ref="E19:H19" si="1">$C19*$C$9/1000*E$13</f>
        <v>72.309009030627365</v>
      </c>
      <c r="F19" s="54">
        <f t="shared" si="1"/>
        <v>54.23175677297052</v>
      </c>
      <c r="G19" s="54">
        <f t="shared" si="1"/>
        <v>18.077252257656841</v>
      </c>
      <c r="H19" s="54">
        <f t="shared" si="1"/>
        <v>108.46351354594103</v>
      </c>
      <c r="I19" s="81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</row>
    <row r="20" spans="2:21" x14ac:dyDescent="0.35">
      <c r="B20" s="12" t="s">
        <v>24</v>
      </c>
      <c r="C20" s="11">
        <v>4800</v>
      </c>
      <c r="D20" s="54">
        <f t="shared" ref="D20:H30" si="2">$C20*$C$9/1000*D$13</f>
        <v>130.15621625512924</v>
      </c>
      <c r="E20" s="54">
        <f t="shared" si="2"/>
        <v>86.770810836752844</v>
      </c>
      <c r="F20" s="54">
        <f t="shared" si="2"/>
        <v>65.078108127564619</v>
      </c>
      <c r="G20" s="54">
        <f t="shared" si="2"/>
        <v>21.692702709188211</v>
      </c>
      <c r="H20" s="54">
        <f t="shared" si="2"/>
        <v>130.15621625512921</v>
      </c>
      <c r="I20" s="81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</row>
    <row r="21" spans="2:21" x14ac:dyDescent="0.35">
      <c r="B21" s="41" t="s">
        <v>0</v>
      </c>
      <c r="C21" s="11">
        <v>5600</v>
      </c>
      <c r="D21" s="54">
        <f t="shared" si="2"/>
        <v>151.84891896431745</v>
      </c>
      <c r="E21" s="54">
        <f t="shared" si="2"/>
        <v>101.23261264287831</v>
      </c>
      <c r="F21" s="54">
        <f t="shared" si="2"/>
        <v>75.924459482158724</v>
      </c>
      <c r="G21" s="54">
        <f t="shared" si="2"/>
        <v>25.308153160719577</v>
      </c>
      <c r="H21" s="54">
        <f t="shared" si="2"/>
        <v>151.84891896431742</v>
      </c>
      <c r="I21" s="81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</row>
    <row r="22" spans="2:21" x14ac:dyDescent="0.35">
      <c r="B22" s="12" t="s">
        <v>25</v>
      </c>
      <c r="C22" s="11">
        <v>6400</v>
      </c>
      <c r="D22" s="54">
        <f t="shared" si="2"/>
        <v>173.54162167350566</v>
      </c>
      <c r="E22" s="54">
        <f t="shared" si="2"/>
        <v>115.69441444900379</v>
      </c>
      <c r="F22" s="54">
        <f t="shared" si="2"/>
        <v>86.77081083675283</v>
      </c>
      <c r="G22" s="54">
        <f t="shared" si="2"/>
        <v>28.923603612250947</v>
      </c>
      <c r="H22" s="54">
        <f t="shared" si="2"/>
        <v>173.54162167350563</v>
      </c>
      <c r="I22" s="81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</row>
    <row r="23" spans="2:21" x14ac:dyDescent="0.35">
      <c r="B23" s="41" t="s">
        <v>26</v>
      </c>
      <c r="C23" s="11">
        <v>7200</v>
      </c>
      <c r="D23" s="54">
        <f t="shared" si="2"/>
        <v>195.23432438269387</v>
      </c>
      <c r="E23" s="54">
        <f t="shared" si="2"/>
        <v>130.15621625512924</v>
      </c>
      <c r="F23" s="54">
        <f t="shared" si="2"/>
        <v>97.617162191346935</v>
      </c>
      <c r="G23" s="54">
        <f t="shared" si="2"/>
        <v>32.539054063782309</v>
      </c>
      <c r="H23" s="54">
        <f t="shared" si="2"/>
        <v>195.23432438269381</v>
      </c>
      <c r="I23" s="81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</row>
    <row r="24" spans="2:21" x14ac:dyDescent="0.35">
      <c r="B24" s="12" t="s">
        <v>27</v>
      </c>
      <c r="C24" s="11">
        <v>8000</v>
      </c>
      <c r="D24" s="54">
        <f t="shared" si="2"/>
        <v>216.92702709188208</v>
      </c>
      <c r="E24" s="54">
        <f t="shared" si="2"/>
        <v>144.61801806125473</v>
      </c>
      <c r="F24" s="54">
        <f t="shared" si="2"/>
        <v>108.46351354594104</v>
      </c>
      <c r="G24" s="54">
        <f>$C24*$C$9/1000*G$13</f>
        <v>36.154504515313683</v>
      </c>
      <c r="H24" s="54">
        <f t="shared" si="2"/>
        <v>216.92702709188205</v>
      </c>
      <c r="I24" s="81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</row>
    <row r="25" spans="2:21" x14ac:dyDescent="0.35">
      <c r="B25" s="41" t="s">
        <v>28</v>
      </c>
      <c r="C25" s="11">
        <v>1600</v>
      </c>
      <c r="D25" s="54">
        <f t="shared" si="2"/>
        <v>43.385405418376415</v>
      </c>
      <c r="E25" s="54">
        <f t="shared" si="2"/>
        <v>28.923603612250947</v>
      </c>
      <c r="F25" s="54">
        <f t="shared" si="2"/>
        <v>21.692702709188207</v>
      </c>
      <c r="G25" s="54">
        <f t="shared" si="2"/>
        <v>7.2309009030627367</v>
      </c>
      <c r="H25" s="54">
        <f t="shared" si="2"/>
        <v>43.385405418376408</v>
      </c>
      <c r="I25" s="81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</row>
    <row r="26" spans="2:21" x14ac:dyDescent="0.35">
      <c r="B26" s="12" t="s">
        <v>29</v>
      </c>
      <c r="C26" s="11">
        <v>800</v>
      </c>
      <c r="D26" s="54">
        <f t="shared" si="2"/>
        <v>21.692702709188207</v>
      </c>
      <c r="E26" s="54">
        <f t="shared" si="2"/>
        <v>14.461801806125473</v>
      </c>
      <c r="F26" s="54">
        <f t="shared" si="2"/>
        <v>10.846351354594104</v>
      </c>
      <c r="G26" s="54">
        <f t="shared" si="2"/>
        <v>3.6154504515313683</v>
      </c>
      <c r="H26" s="54">
        <f t="shared" si="2"/>
        <v>21.692702709188204</v>
      </c>
      <c r="I26" s="81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</row>
    <row r="27" spans="2:21" x14ac:dyDescent="0.35">
      <c r="B27" s="41" t="s">
        <v>30</v>
      </c>
      <c r="C27" s="11">
        <v>4000</v>
      </c>
      <c r="D27" s="54">
        <f t="shared" si="2"/>
        <v>108.46351354594104</v>
      </c>
      <c r="E27" s="54">
        <f t="shared" si="2"/>
        <v>72.309009030627365</v>
      </c>
      <c r="F27" s="54">
        <f t="shared" si="2"/>
        <v>54.23175677297052</v>
      </c>
      <c r="G27" s="54">
        <f t="shared" si="2"/>
        <v>18.077252257656841</v>
      </c>
      <c r="H27" s="54">
        <f t="shared" si="2"/>
        <v>108.46351354594103</v>
      </c>
      <c r="I27" s="81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</row>
    <row r="28" spans="2:21" x14ac:dyDescent="0.35">
      <c r="B28" s="12" t="s">
        <v>31</v>
      </c>
      <c r="C28" s="11">
        <v>4800</v>
      </c>
      <c r="D28" s="54">
        <f t="shared" si="2"/>
        <v>130.15621625512924</v>
      </c>
      <c r="E28" s="54">
        <f t="shared" si="2"/>
        <v>86.770810836752844</v>
      </c>
      <c r="F28" s="54">
        <f t="shared" si="2"/>
        <v>65.078108127564619</v>
      </c>
      <c r="G28" s="54">
        <f t="shared" si="2"/>
        <v>21.692702709188211</v>
      </c>
      <c r="H28" s="54">
        <f t="shared" si="2"/>
        <v>130.15621625512921</v>
      </c>
      <c r="I28" s="81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</row>
    <row r="29" spans="2:21" x14ac:dyDescent="0.35">
      <c r="B29" s="41" t="s">
        <v>32</v>
      </c>
      <c r="C29" s="11">
        <v>5600</v>
      </c>
      <c r="D29" s="54">
        <f t="shared" si="2"/>
        <v>151.84891896431745</v>
      </c>
      <c r="E29" s="54">
        <f t="shared" si="2"/>
        <v>101.23261264287831</v>
      </c>
      <c r="F29" s="54">
        <f t="shared" si="2"/>
        <v>75.924459482158724</v>
      </c>
      <c r="G29" s="54">
        <f t="shared" si="2"/>
        <v>25.308153160719577</v>
      </c>
      <c r="H29" s="54">
        <f t="shared" si="2"/>
        <v>151.84891896431742</v>
      </c>
      <c r="I29" s="81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</row>
    <row r="30" spans="2:21" x14ac:dyDescent="0.35">
      <c r="B30" s="12" t="s">
        <v>33</v>
      </c>
      <c r="C30" s="11">
        <v>5200</v>
      </c>
      <c r="D30" s="54">
        <f t="shared" si="2"/>
        <v>141.00256760972334</v>
      </c>
      <c r="E30" s="54">
        <f t="shared" si="2"/>
        <v>94.001711739815576</v>
      </c>
      <c r="F30" s="54">
        <f t="shared" si="2"/>
        <v>70.501283804861671</v>
      </c>
      <c r="G30" s="54">
        <f t="shared" si="2"/>
        <v>23.500427934953894</v>
      </c>
      <c r="H30" s="54">
        <f t="shared" si="2"/>
        <v>141.00256760972331</v>
      </c>
      <c r="I30" s="81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</row>
    <row r="31" spans="2:21" x14ac:dyDescent="0.35">
      <c r="B31" s="1" t="s">
        <v>20</v>
      </c>
      <c r="C31" s="44">
        <f>SUM(C19:C30)</f>
        <v>58000</v>
      </c>
      <c r="D31" s="44">
        <f t="shared" ref="D31:H31" si="3">SUM(D19:D30)</f>
        <v>1572.7209464161449</v>
      </c>
      <c r="E31" s="44">
        <f t="shared" si="3"/>
        <v>1048.4806309440967</v>
      </c>
      <c r="F31" s="44">
        <f t="shared" si="3"/>
        <v>786.36047320807245</v>
      </c>
      <c r="G31" s="44">
        <f t="shared" si="3"/>
        <v>262.12015773602417</v>
      </c>
      <c r="H31" s="44">
        <f t="shared" si="3"/>
        <v>1572.7209464161447</v>
      </c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</row>
    <row r="32" spans="2:21" x14ac:dyDescent="0.35">
      <c r="B32" s="1"/>
      <c r="C32" s="1" t="s">
        <v>17</v>
      </c>
      <c r="D32" s="15" t="s">
        <v>16</v>
      </c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</row>
    <row r="33" spans="2:10" x14ac:dyDescent="0.35">
      <c r="B33" s="1"/>
    </row>
    <row r="34" spans="2:10" ht="15.5" x14ac:dyDescent="0.35">
      <c r="B34" s="14" t="s">
        <v>47</v>
      </c>
      <c r="D34" s="94" t="s">
        <v>22</v>
      </c>
      <c r="E34" s="94"/>
      <c r="F34" s="94"/>
      <c r="G34" s="94"/>
      <c r="H34" s="94"/>
    </row>
    <row r="35" spans="2:10" ht="29" x14ac:dyDescent="0.35">
      <c r="B35" s="82" t="str">
        <f t="shared" ref="B35:H35" si="4">B18</f>
        <v>Miesiąc</v>
      </c>
      <c r="C35" s="16"/>
      <c r="D35" s="6" t="str">
        <f t="shared" si="4"/>
        <v>Smocze sadło</v>
      </c>
      <c r="E35" s="6" t="str">
        <f t="shared" si="4"/>
        <v>Mrówcze mięso</v>
      </c>
      <c r="F35" s="6" t="str">
        <f t="shared" si="4"/>
        <v>Makula-
tura</v>
      </c>
      <c r="G35" s="6" t="str">
        <f t="shared" si="4"/>
        <v>Magic Stufff</v>
      </c>
      <c r="H35" s="52" t="str">
        <f t="shared" si="4"/>
        <v>Woda</v>
      </c>
      <c r="I35" s="53" t="s">
        <v>20</v>
      </c>
    </row>
    <row r="36" spans="2:10" x14ac:dyDescent="0.35">
      <c r="B36" s="41" t="str">
        <f>B19</f>
        <v>Sty</v>
      </c>
      <c r="C36" s="45"/>
      <c r="D36" s="55">
        <f>D19*D$14</f>
        <v>1626.9527031891157</v>
      </c>
      <c r="E36" s="55">
        <f t="shared" ref="E36:H36" si="5">E19*E$14</f>
        <v>5784.720722450189</v>
      </c>
      <c r="F36" s="55">
        <f t="shared" si="5"/>
        <v>325.39054063782311</v>
      </c>
      <c r="G36" s="55">
        <f t="shared" si="5"/>
        <v>45.193130644142101</v>
      </c>
      <c r="H36" s="55">
        <f t="shared" si="5"/>
        <v>10.846351354594104</v>
      </c>
      <c r="I36" s="46">
        <f t="shared" ref="I36:I47" si="6">SUM(D36:H36)</f>
        <v>7793.1034482758641</v>
      </c>
    </row>
    <row r="37" spans="2:10" x14ac:dyDescent="0.35">
      <c r="B37" s="41" t="str">
        <f t="shared" ref="B37:B47" si="7">B20</f>
        <v>Lut</v>
      </c>
      <c r="C37" s="17"/>
      <c r="D37" s="55">
        <f t="shared" ref="D37:H47" si="8">D20*D$14</f>
        <v>1952.3432438269385</v>
      </c>
      <c r="E37" s="55">
        <f t="shared" si="8"/>
        <v>6941.6648669402275</v>
      </c>
      <c r="F37" s="55">
        <f t="shared" si="8"/>
        <v>390.46864876538768</v>
      </c>
      <c r="G37" s="55">
        <f t="shared" si="8"/>
        <v>54.231756772970527</v>
      </c>
      <c r="H37" s="55">
        <f t="shared" si="8"/>
        <v>13.015621625512921</v>
      </c>
      <c r="I37" s="19">
        <f t="shared" si="6"/>
        <v>9351.7241379310362</v>
      </c>
    </row>
    <row r="38" spans="2:10" x14ac:dyDescent="0.35">
      <c r="B38" s="41" t="str">
        <f t="shared" si="7"/>
        <v>Mar</v>
      </c>
      <c r="C38" s="17"/>
      <c r="D38" s="55">
        <f t="shared" si="8"/>
        <v>2277.7337844647618</v>
      </c>
      <c r="E38" s="55">
        <f t="shared" si="8"/>
        <v>8098.6090114302642</v>
      </c>
      <c r="F38" s="55">
        <f t="shared" si="8"/>
        <v>455.54675689295232</v>
      </c>
      <c r="G38" s="55">
        <f t="shared" si="8"/>
        <v>63.270382901798939</v>
      </c>
      <c r="H38" s="55">
        <f t="shared" si="8"/>
        <v>15.184891896431743</v>
      </c>
      <c r="I38" s="19">
        <f t="shared" si="6"/>
        <v>10910.34482758621</v>
      </c>
    </row>
    <row r="39" spans="2:10" x14ac:dyDescent="0.35">
      <c r="B39" s="41" t="str">
        <f t="shared" si="7"/>
        <v>Kwi</v>
      </c>
      <c r="C39" s="17"/>
      <c r="D39" s="55">
        <f t="shared" si="8"/>
        <v>2603.1243251025849</v>
      </c>
      <c r="E39" s="55">
        <f t="shared" si="8"/>
        <v>9255.5531559203027</v>
      </c>
      <c r="F39" s="55">
        <f t="shared" si="8"/>
        <v>520.62486502051695</v>
      </c>
      <c r="G39" s="55">
        <f t="shared" si="8"/>
        <v>72.309009030627365</v>
      </c>
      <c r="H39" s="55">
        <f t="shared" si="8"/>
        <v>17.354162167350562</v>
      </c>
      <c r="I39" s="19">
        <f t="shared" si="6"/>
        <v>12468.96551724138</v>
      </c>
    </row>
    <row r="40" spans="2:10" x14ac:dyDescent="0.35">
      <c r="B40" s="41" t="str">
        <f t="shared" si="7"/>
        <v>Maj</v>
      </c>
      <c r="C40" s="17"/>
      <c r="D40" s="55">
        <f t="shared" si="8"/>
        <v>2928.5148657404079</v>
      </c>
      <c r="E40" s="55">
        <f t="shared" si="8"/>
        <v>10412.497300410339</v>
      </c>
      <c r="F40" s="55">
        <f t="shared" si="8"/>
        <v>585.70297314808158</v>
      </c>
      <c r="G40" s="55">
        <f t="shared" si="8"/>
        <v>81.347635159455777</v>
      </c>
      <c r="H40" s="55">
        <f t="shared" si="8"/>
        <v>19.523432438269381</v>
      </c>
      <c r="I40" s="19">
        <f t="shared" si="6"/>
        <v>14027.586206896554</v>
      </c>
    </row>
    <row r="41" spans="2:10" x14ac:dyDescent="0.35">
      <c r="B41" s="41" t="str">
        <f t="shared" si="7"/>
        <v>Cze</v>
      </c>
      <c r="C41" s="17"/>
      <c r="D41" s="55">
        <f t="shared" si="8"/>
        <v>3253.9054063782314</v>
      </c>
      <c r="E41" s="55">
        <f t="shared" si="8"/>
        <v>11569.441444900378</v>
      </c>
      <c r="F41" s="55">
        <f t="shared" si="8"/>
        <v>650.78108127564622</v>
      </c>
      <c r="G41" s="55">
        <f t="shared" si="8"/>
        <v>90.386261288284203</v>
      </c>
      <c r="H41" s="55">
        <f t="shared" si="8"/>
        <v>21.692702709188207</v>
      </c>
      <c r="I41" s="19">
        <f t="shared" si="6"/>
        <v>15586.206896551728</v>
      </c>
    </row>
    <row r="42" spans="2:10" x14ac:dyDescent="0.35">
      <c r="B42" s="41" t="str">
        <f t="shared" si="7"/>
        <v>Lip</v>
      </c>
      <c r="C42" s="17"/>
      <c r="D42" s="55">
        <f t="shared" si="8"/>
        <v>650.78108127564622</v>
      </c>
      <c r="E42" s="55">
        <f t="shared" si="8"/>
        <v>2313.8882889800757</v>
      </c>
      <c r="F42" s="55">
        <f t="shared" si="8"/>
        <v>130.15621625512924</v>
      </c>
      <c r="G42" s="55">
        <f t="shared" si="8"/>
        <v>18.077252257656841</v>
      </c>
      <c r="H42" s="55">
        <f t="shared" si="8"/>
        <v>4.3385405418376406</v>
      </c>
      <c r="I42" s="19">
        <f t="shared" si="6"/>
        <v>3117.2413793103451</v>
      </c>
    </row>
    <row r="43" spans="2:10" x14ac:dyDescent="0.35">
      <c r="B43" s="41" t="str">
        <f t="shared" si="7"/>
        <v>Sie</v>
      </c>
      <c r="C43" s="17"/>
      <c r="D43" s="55">
        <f t="shared" si="8"/>
        <v>325.39054063782311</v>
      </c>
      <c r="E43" s="55">
        <f t="shared" si="8"/>
        <v>1156.9441444900378</v>
      </c>
      <c r="F43" s="55">
        <f t="shared" si="8"/>
        <v>65.078108127564619</v>
      </c>
      <c r="G43" s="55">
        <f t="shared" si="8"/>
        <v>9.0386261288284206</v>
      </c>
      <c r="H43" s="55">
        <f t="shared" si="8"/>
        <v>2.1692702709188203</v>
      </c>
      <c r="I43" s="19">
        <f t="shared" si="6"/>
        <v>1558.6206896551726</v>
      </c>
    </row>
    <row r="44" spans="2:10" x14ac:dyDescent="0.35">
      <c r="B44" s="41" t="str">
        <f t="shared" si="7"/>
        <v>Wrz</v>
      </c>
      <c r="C44" s="17"/>
      <c r="D44" s="55">
        <f t="shared" si="8"/>
        <v>1626.9527031891157</v>
      </c>
      <c r="E44" s="55">
        <f t="shared" si="8"/>
        <v>5784.720722450189</v>
      </c>
      <c r="F44" s="55">
        <f t="shared" si="8"/>
        <v>325.39054063782311</v>
      </c>
      <c r="G44" s="55">
        <f t="shared" si="8"/>
        <v>45.193130644142101</v>
      </c>
      <c r="H44" s="55">
        <f t="shared" si="8"/>
        <v>10.846351354594104</v>
      </c>
      <c r="I44" s="19">
        <f t="shared" si="6"/>
        <v>7793.1034482758641</v>
      </c>
    </row>
    <row r="45" spans="2:10" x14ac:dyDescent="0.35">
      <c r="B45" s="41" t="str">
        <f t="shared" si="7"/>
        <v>Paź</v>
      </c>
      <c r="C45" s="17"/>
      <c r="D45" s="55">
        <f t="shared" si="8"/>
        <v>1952.3432438269385</v>
      </c>
      <c r="E45" s="55">
        <f t="shared" si="8"/>
        <v>6941.6648669402275</v>
      </c>
      <c r="F45" s="55">
        <f t="shared" si="8"/>
        <v>390.46864876538768</v>
      </c>
      <c r="G45" s="55">
        <f t="shared" si="8"/>
        <v>54.231756772970527</v>
      </c>
      <c r="H45" s="55">
        <f t="shared" si="8"/>
        <v>13.015621625512921</v>
      </c>
      <c r="I45" s="19">
        <f t="shared" si="6"/>
        <v>9351.7241379310362</v>
      </c>
    </row>
    <row r="46" spans="2:10" x14ac:dyDescent="0.35">
      <c r="B46" s="41" t="str">
        <f t="shared" si="7"/>
        <v>Lis</v>
      </c>
      <c r="C46" s="17"/>
      <c r="D46" s="55">
        <f t="shared" si="8"/>
        <v>2277.7337844647618</v>
      </c>
      <c r="E46" s="55">
        <f t="shared" si="8"/>
        <v>8098.6090114302642</v>
      </c>
      <c r="F46" s="55">
        <f t="shared" si="8"/>
        <v>455.54675689295232</v>
      </c>
      <c r="G46" s="55">
        <f t="shared" si="8"/>
        <v>63.270382901798939</v>
      </c>
      <c r="H46" s="55">
        <f t="shared" si="8"/>
        <v>15.184891896431743</v>
      </c>
      <c r="I46" s="19">
        <f t="shared" si="6"/>
        <v>10910.34482758621</v>
      </c>
    </row>
    <row r="47" spans="2:10" x14ac:dyDescent="0.35">
      <c r="B47" s="41" t="str">
        <f t="shared" si="7"/>
        <v>Gru</v>
      </c>
      <c r="C47" s="17"/>
      <c r="D47" s="55">
        <f t="shared" si="8"/>
        <v>2115.0385141458501</v>
      </c>
      <c r="E47" s="55">
        <f t="shared" si="8"/>
        <v>7520.1369391852459</v>
      </c>
      <c r="F47" s="55">
        <f t="shared" si="8"/>
        <v>423.00770282917006</v>
      </c>
      <c r="G47" s="55">
        <f t="shared" si="8"/>
        <v>58.751069837384733</v>
      </c>
      <c r="H47" s="55">
        <f t="shared" si="8"/>
        <v>14.100256760972332</v>
      </c>
      <c r="I47" s="19">
        <f t="shared" si="6"/>
        <v>10131.034482758623</v>
      </c>
    </row>
    <row r="48" spans="2:10" ht="15" thickBot="1" x14ac:dyDescent="0.4">
      <c r="B48" s="47" t="s">
        <v>18</v>
      </c>
      <c r="C48" s="48"/>
      <c r="D48" s="49">
        <f>SUM(D36:D47)</f>
        <v>23590.814196242176</v>
      </c>
      <c r="E48" s="49">
        <f t="shared" ref="E48:F48" si="9">SUM(E36:E47)</f>
        <v>83878.450475527745</v>
      </c>
      <c r="F48" s="49">
        <f t="shared" si="9"/>
        <v>4718.1628392484345</v>
      </c>
      <c r="G48" s="50">
        <f>SUM(G36:G47)</f>
        <v>655.30039434006051</v>
      </c>
      <c r="H48" s="50">
        <f>SUM(H36:H47)</f>
        <v>157.2720946416145</v>
      </c>
      <c r="I48" s="51">
        <f>SUM(I36:I47)</f>
        <v>113000.00000000001</v>
      </c>
      <c r="J48" s="18" t="s">
        <v>64</v>
      </c>
    </row>
    <row r="50" spans="1:14" ht="15.5" x14ac:dyDescent="0.35">
      <c r="B50" s="14" t="s">
        <v>48</v>
      </c>
      <c r="C50" s="13" t="s">
        <v>66</v>
      </c>
      <c r="F50" s="14" t="s">
        <v>49</v>
      </c>
      <c r="G50" s="13" t="s">
        <v>36</v>
      </c>
    </row>
    <row r="51" spans="1:14" x14ac:dyDescent="0.35">
      <c r="A51" s="1" t="s">
        <v>1</v>
      </c>
      <c r="B51" s="21" t="s">
        <v>35</v>
      </c>
      <c r="C51" s="12"/>
      <c r="D51" s="56">
        <f>MAX(I36:I47)</f>
        <v>15586.206896551728</v>
      </c>
      <c r="F51" s="72"/>
      <c r="G51" s="73"/>
      <c r="H51" s="74" t="s">
        <v>67</v>
      </c>
      <c r="I51" s="75">
        <f>C31*C6</f>
        <v>174000</v>
      </c>
      <c r="J51" t="s">
        <v>21</v>
      </c>
    </row>
    <row r="52" spans="1:14" x14ac:dyDescent="0.35">
      <c r="A52" s="1" t="s">
        <v>2</v>
      </c>
      <c r="B52" s="21" t="s">
        <v>34</v>
      </c>
      <c r="C52" s="12"/>
      <c r="D52" s="57" t="str">
        <f>_xlfn.XLOOKUP(D51,I36:I47,B36:B47)</f>
        <v>Cze</v>
      </c>
      <c r="F52" s="63"/>
      <c r="G52" s="64"/>
      <c r="H52" s="65" t="s">
        <v>37</v>
      </c>
      <c r="I52" s="66">
        <f>I48</f>
        <v>113000.00000000001</v>
      </c>
      <c r="J52" t="s">
        <v>40</v>
      </c>
    </row>
    <row r="53" spans="1:14" x14ac:dyDescent="0.35">
      <c r="A53" s="1" t="s">
        <v>3</v>
      </c>
      <c r="B53" s="21" t="s">
        <v>65</v>
      </c>
      <c r="C53" s="12"/>
      <c r="D53" s="57">
        <f>VLOOKUP(D52,B19:H30,2,0)</f>
        <v>8000</v>
      </c>
      <c r="F53" s="67"/>
      <c r="G53" s="59"/>
      <c r="H53" s="60" t="s">
        <v>38</v>
      </c>
      <c r="I53" s="68">
        <f>12*C8</f>
        <v>36000</v>
      </c>
      <c r="J53" t="s">
        <v>41</v>
      </c>
    </row>
    <row r="54" spans="1:14" x14ac:dyDescent="0.35">
      <c r="F54" s="69"/>
      <c r="G54" s="70"/>
      <c r="H54" s="70" t="s">
        <v>39</v>
      </c>
      <c r="I54" s="71">
        <f>I48+I53</f>
        <v>149000</v>
      </c>
      <c r="J54" t="s">
        <v>68</v>
      </c>
    </row>
    <row r="55" spans="1:14" x14ac:dyDescent="0.35">
      <c r="F55" s="58"/>
      <c r="G55" s="59"/>
      <c r="H55" s="60" t="s">
        <v>51</v>
      </c>
      <c r="I55" s="61">
        <f>I51-I54</f>
        <v>25000</v>
      </c>
      <c r="J55" t="s">
        <v>50</v>
      </c>
    </row>
    <row r="56" spans="1:14" ht="15" thickBot="1" x14ac:dyDescent="0.4">
      <c r="F56" s="58"/>
      <c r="G56" s="59"/>
      <c r="H56" s="60" t="s">
        <v>42</v>
      </c>
      <c r="I56" s="62">
        <v>15000</v>
      </c>
      <c r="J56" t="s">
        <v>69</v>
      </c>
    </row>
    <row r="57" spans="1:14" ht="19" thickBot="1" x14ac:dyDescent="0.5">
      <c r="F57" s="76"/>
      <c r="G57" s="77"/>
      <c r="H57" s="78" t="s">
        <v>52</v>
      </c>
      <c r="I57" s="35">
        <f>I55-I56</f>
        <v>10000</v>
      </c>
      <c r="J57" t="s">
        <v>70</v>
      </c>
    </row>
    <row r="59" spans="1:14" s="3" customFormat="1" ht="18.75" customHeight="1" x14ac:dyDescent="0.35">
      <c r="A59" s="2" t="s">
        <v>56</v>
      </c>
      <c r="B59" s="2"/>
    </row>
    <row r="60" spans="1:14" ht="15.5" x14ac:dyDescent="0.35">
      <c r="B60" s="14" t="s">
        <v>71</v>
      </c>
      <c r="C60" s="13" t="s">
        <v>45</v>
      </c>
      <c r="E60" s="14" t="s">
        <v>72</v>
      </c>
      <c r="F60" s="13" t="s">
        <v>73</v>
      </c>
    </row>
    <row r="61" spans="1:14" x14ac:dyDescent="0.35">
      <c r="B61" s="83" t="s">
        <v>54</v>
      </c>
      <c r="C61" s="84"/>
      <c r="E61" s="22"/>
      <c r="F61" s="23">
        <v>70</v>
      </c>
      <c r="G61" s="23">
        <f t="shared" ref="G61:N61" si="10">F61+5</f>
        <v>75</v>
      </c>
      <c r="H61" s="24">
        <f t="shared" si="10"/>
        <v>80</v>
      </c>
      <c r="I61" s="23">
        <f t="shared" si="10"/>
        <v>85</v>
      </c>
      <c r="J61" s="23">
        <f t="shared" si="10"/>
        <v>90</v>
      </c>
      <c r="K61" s="23">
        <f t="shared" si="10"/>
        <v>95</v>
      </c>
      <c r="L61" s="23">
        <f t="shared" si="10"/>
        <v>100</v>
      </c>
      <c r="M61" s="23">
        <f t="shared" si="10"/>
        <v>105</v>
      </c>
      <c r="N61" s="25">
        <f t="shared" si="10"/>
        <v>110</v>
      </c>
    </row>
    <row r="62" spans="1:14" x14ac:dyDescent="0.35">
      <c r="B62" s="85">
        <v>85</v>
      </c>
      <c r="C62" s="86"/>
      <c r="E62" s="26">
        <v>2.5</v>
      </c>
      <c r="F62" s="27"/>
      <c r="G62" s="27"/>
      <c r="H62" s="27"/>
      <c r="I62" s="27"/>
      <c r="J62" s="27"/>
      <c r="K62" s="27"/>
      <c r="L62" s="27"/>
      <c r="M62" s="27"/>
      <c r="N62" s="28"/>
    </row>
    <row r="63" spans="1:14" x14ac:dyDescent="0.35">
      <c r="B63" s="85">
        <f>B62+1</f>
        <v>86</v>
      </c>
      <c r="C63" s="86"/>
      <c r="E63" s="26">
        <f t="shared" ref="E63:E72" si="11">E62+0.1</f>
        <v>2.6</v>
      </c>
      <c r="F63" s="27"/>
      <c r="G63" s="27"/>
      <c r="H63" s="27"/>
      <c r="I63" s="27"/>
      <c r="J63" s="27"/>
      <c r="K63" s="27"/>
      <c r="L63" s="27"/>
      <c r="M63" s="27"/>
      <c r="N63" s="28"/>
    </row>
    <row r="64" spans="1:14" x14ac:dyDescent="0.35">
      <c r="B64" s="85">
        <f t="shared" ref="B64:B82" si="12">B63+1</f>
        <v>87</v>
      </c>
      <c r="C64" s="86"/>
      <c r="E64" s="26">
        <f t="shared" si="11"/>
        <v>2.7</v>
      </c>
      <c r="F64" s="27"/>
      <c r="G64" s="27"/>
      <c r="H64" s="27"/>
      <c r="I64" s="27"/>
      <c r="J64" s="27"/>
      <c r="K64" s="27"/>
      <c r="L64" s="27"/>
      <c r="M64" s="27"/>
      <c r="N64" s="28"/>
    </row>
    <row r="65" spans="2:14" x14ac:dyDescent="0.35">
      <c r="B65" s="85">
        <f t="shared" si="12"/>
        <v>88</v>
      </c>
      <c r="C65" s="86"/>
      <c r="E65" s="26">
        <f t="shared" si="11"/>
        <v>2.8000000000000003</v>
      </c>
      <c r="F65" s="27"/>
      <c r="G65" s="27"/>
      <c r="H65" s="27"/>
      <c r="I65" s="27"/>
      <c r="J65" s="27"/>
      <c r="K65" s="27"/>
      <c r="L65" s="27"/>
      <c r="M65" s="27"/>
      <c r="N65" s="28"/>
    </row>
    <row r="66" spans="2:14" x14ac:dyDescent="0.35">
      <c r="B66" s="85">
        <f t="shared" ref="B66:B67" si="13">B65+1</f>
        <v>89</v>
      </c>
      <c r="C66" s="86"/>
      <c r="E66" s="26">
        <f t="shared" si="11"/>
        <v>2.9000000000000004</v>
      </c>
      <c r="F66" s="27"/>
      <c r="G66" s="27"/>
      <c r="H66" s="27"/>
      <c r="I66" s="27"/>
      <c r="J66" s="27"/>
      <c r="K66" s="27"/>
      <c r="L66" s="27"/>
      <c r="M66" s="27"/>
      <c r="N66" s="28"/>
    </row>
    <row r="67" spans="2:14" x14ac:dyDescent="0.35">
      <c r="B67" s="87">
        <f t="shared" si="13"/>
        <v>90</v>
      </c>
      <c r="C67" s="86"/>
      <c r="E67" s="29">
        <f t="shared" si="11"/>
        <v>3.0000000000000004</v>
      </c>
      <c r="F67" s="27"/>
      <c r="G67" s="27"/>
      <c r="H67" s="27"/>
      <c r="I67" s="27"/>
      <c r="J67" s="27"/>
      <c r="K67" s="27"/>
      <c r="L67" s="27"/>
      <c r="M67" s="27"/>
      <c r="N67" s="28"/>
    </row>
    <row r="68" spans="2:14" x14ac:dyDescent="0.35">
      <c r="B68" s="85">
        <f t="shared" si="12"/>
        <v>91</v>
      </c>
      <c r="C68" s="86"/>
      <c r="E68" s="26">
        <f t="shared" si="11"/>
        <v>3.1000000000000005</v>
      </c>
      <c r="F68" s="27"/>
      <c r="G68" s="27"/>
      <c r="H68" s="27"/>
      <c r="I68" s="27"/>
      <c r="J68" s="27"/>
      <c r="K68" s="27"/>
      <c r="L68" s="27"/>
      <c r="M68" s="27"/>
      <c r="N68" s="28"/>
    </row>
    <row r="69" spans="2:14" x14ac:dyDescent="0.35">
      <c r="B69" s="85">
        <f t="shared" si="12"/>
        <v>92</v>
      </c>
      <c r="C69" s="86"/>
      <c r="E69" s="26">
        <f t="shared" si="11"/>
        <v>3.2000000000000006</v>
      </c>
      <c r="F69" s="27"/>
      <c r="G69" s="27"/>
      <c r="H69" s="27"/>
      <c r="I69" s="27"/>
      <c r="J69" s="27"/>
      <c r="K69" s="27"/>
      <c r="L69" s="27"/>
      <c r="M69" s="27"/>
      <c r="N69" s="28"/>
    </row>
    <row r="70" spans="2:14" x14ac:dyDescent="0.35">
      <c r="B70" s="85">
        <f t="shared" si="12"/>
        <v>93</v>
      </c>
      <c r="C70" s="86"/>
      <c r="E70" s="26">
        <f t="shared" si="11"/>
        <v>3.3000000000000007</v>
      </c>
      <c r="F70" s="27"/>
      <c r="G70" s="27"/>
      <c r="H70" s="27"/>
      <c r="I70" s="27"/>
      <c r="J70" s="27"/>
      <c r="K70" s="27"/>
      <c r="L70" s="27"/>
      <c r="M70" s="27"/>
      <c r="N70" s="28"/>
    </row>
    <row r="71" spans="2:14" x14ac:dyDescent="0.35">
      <c r="B71" s="85">
        <f t="shared" si="12"/>
        <v>94</v>
      </c>
      <c r="C71" s="86"/>
      <c r="E71" s="26">
        <f t="shared" si="11"/>
        <v>3.4000000000000008</v>
      </c>
      <c r="F71" s="27"/>
      <c r="G71" s="27"/>
      <c r="H71" s="27"/>
      <c r="I71" s="27"/>
      <c r="J71" s="27"/>
      <c r="K71" s="27"/>
      <c r="L71" s="27"/>
      <c r="M71" s="27"/>
      <c r="N71" s="28"/>
    </row>
    <row r="72" spans="2:14" x14ac:dyDescent="0.35">
      <c r="B72" s="85">
        <f t="shared" si="12"/>
        <v>95</v>
      </c>
      <c r="C72" s="86"/>
      <c r="E72" s="30">
        <f t="shared" si="11"/>
        <v>3.5000000000000009</v>
      </c>
      <c r="F72" s="31"/>
      <c r="G72" s="31"/>
      <c r="H72" s="31"/>
      <c r="I72" s="31"/>
      <c r="J72" s="31"/>
      <c r="K72" s="31"/>
      <c r="L72" s="31"/>
      <c r="M72" s="31"/>
      <c r="N72" s="32"/>
    </row>
    <row r="73" spans="2:14" x14ac:dyDescent="0.35">
      <c r="B73" s="85">
        <f t="shared" si="12"/>
        <v>96</v>
      </c>
      <c r="C73" s="86"/>
    </row>
    <row r="74" spans="2:14" x14ac:dyDescent="0.35">
      <c r="B74" s="85">
        <f t="shared" si="12"/>
        <v>97</v>
      </c>
      <c r="C74" s="86"/>
    </row>
    <row r="75" spans="2:14" x14ac:dyDescent="0.35">
      <c r="B75" s="85">
        <f t="shared" si="12"/>
        <v>98</v>
      </c>
      <c r="C75" s="86"/>
    </row>
    <row r="76" spans="2:14" x14ac:dyDescent="0.35">
      <c r="B76" s="85">
        <f t="shared" si="12"/>
        <v>99</v>
      </c>
      <c r="C76" s="86"/>
    </row>
    <row r="77" spans="2:14" x14ac:dyDescent="0.35">
      <c r="B77" s="85">
        <f t="shared" si="12"/>
        <v>100</v>
      </c>
      <c r="C77" s="86"/>
    </row>
    <row r="78" spans="2:14" x14ac:dyDescent="0.35">
      <c r="B78" s="85">
        <f t="shared" si="12"/>
        <v>101</v>
      </c>
      <c r="C78" s="86"/>
    </row>
    <row r="79" spans="2:14" x14ac:dyDescent="0.35">
      <c r="B79" s="85">
        <f t="shared" si="12"/>
        <v>102</v>
      </c>
      <c r="C79" s="86"/>
    </row>
    <row r="80" spans="2:14" x14ac:dyDescent="0.35">
      <c r="B80" s="85">
        <f t="shared" si="12"/>
        <v>103</v>
      </c>
      <c r="C80" s="86"/>
    </row>
    <row r="81" spans="2:3" x14ac:dyDescent="0.35">
      <c r="B81" s="85">
        <f t="shared" si="12"/>
        <v>104</v>
      </c>
      <c r="C81" s="86"/>
    </row>
    <row r="82" spans="2:3" x14ac:dyDescent="0.35">
      <c r="B82" s="88">
        <f t="shared" si="12"/>
        <v>105</v>
      </c>
      <c r="C82" s="89"/>
    </row>
  </sheetData>
  <mergeCells count="5">
    <mergeCell ref="D11:H11"/>
    <mergeCell ref="D17:H17"/>
    <mergeCell ref="D34:H34"/>
    <mergeCell ref="B13:C13"/>
    <mergeCell ref="B14:C14"/>
  </mergeCells>
  <conditionalFormatting sqref="F62:N72 C62:C82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2">
    <dataValidation operator="lessThan" allowBlank="1" showInputMessage="1" showErrorMessage="1" sqref="C7" xr:uid="{00000000-0002-0000-0000-000000000000}"/>
    <dataValidation type="decimal" operator="greaterThan" allowBlank="1" showInputMessage="1" showErrorMessage="1" sqref="C6" xr:uid="{00000000-0002-0000-0000-000001000000}">
      <formula1>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Wykonalność</vt:lpstr>
    </vt:vector>
  </TitlesOfParts>
  <Company>dom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WD</dc:creator>
  <cp:lastModifiedBy>Filip Stankiewicz</cp:lastModifiedBy>
  <dcterms:created xsi:type="dcterms:W3CDTF">2010-11-23T22:58:12Z</dcterms:created>
  <dcterms:modified xsi:type="dcterms:W3CDTF">2026-10-28T19:28:25Z</dcterms:modified>
</cp:coreProperties>
</file>